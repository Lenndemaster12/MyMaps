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enn\Desktop\mymaps static\api\"/>
    </mc:Choice>
  </mc:AlternateContent>
  <xr:revisionPtr revIDLastSave="0" documentId="13_ncr:1_{4C4D677F-AFAC-4369-810F-3BBD68A129C6}" xr6:coauthVersionLast="47" xr6:coauthVersionMax="47" xr10:uidLastSave="{00000000-0000-0000-0000-000000000000}"/>
  <bookViews>
    <workbookView xWindow="19095" yWindow="0" windowWidth="19410" windowHeight="20985" tabRatio="500" xr2:uid="{00000000-000D-0000-FFFF-FFFF00000000}"/>
  </bookViews>
  <sheets>
    <sheet name="events" sheetId="1" r:id="rId1"/>
    <sheet name="Locat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4" i="1" l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J3" i="1"/>
  <c r="I3" i="1"/>
</calcChain>
</file>

<file path=xl/sharedStrings.xml><?xml version="1.0" encoding="utf-8"?>
<sst xmlns="http://schemas.openxmlformats.org/spreadsheetml/2006/main" count="466" uniqueCount="254">
  <si>
    <t>title</t>
  </si>
  <si>
    <t>event_date</t>
  </si>
  <si>
    <t>start_time</t>
  </si>
  <si>
    <t>end_time</t>
  </si>
  <si>
    <t>street</t>
  </si>
  <si>
    <t>number</t>
  </si>
  <si>
    <t>postal_code</t>
  </si>
  <si>
    <t>city</t>
  </si>
  <si>
    <t>region</t>
  </si>
  <si>
    <t>latitude</t>
  </si>
  <si>
    <t>longitude</t>
  </si>
  <si>
    <t>price</t>
  </si>
  <si>
    <t>is_open</t>
  </si>
  <si>
    <t>14:00</t>
  </si>
  <si>
    <t>16:00</t>
  </si>
  <si>
    <t>Brussel</t>
  </si>
  <si>
    <t>Vlaams-Brabant</t>
  </si>
  <si>
    <t>09:30</t>
  </si>
  <si>
    <t>12:00</t>
  </si>
  <si>
    <t>Antwerpen</t>
  </si>
  <si>
    <t>10:00</t>
  </si>
  <si>
    <t>Gent</t>
  </si>
  <si>
    <t>Oost-Vlaanderen</t>
  </si>
  <si>
    <t>17:00</t>
  </si>
  <si>
    <t>15:00</t>
  </si>
  <si>
    <t>16:30</t>
  </si>
  <si>
    <t>Leuven</t>
  </si>
  <si>
    <t>09:00</t>
  </si>
  <si>
    <t>Limburg</t>
  </si>
  <si>
    <t>11:00</t>
  </si>
  <si>
    <t>18:00</t>
  </si>
  <si>
    <t>country</t>
  </si>
  <si>
    <t>Wanted Meeting</t>
  </si>
  <si>
    <t>Stance'nd slices</t>
  </si>
  <si>
    <t>HOW</t>
  </si>
  <si>
    <t>Low simply car</t>
  </si>
  <si>
    <t>Carevolution</t>
  </si>
  <si>
    <t>Overdrive - The ultimate tuning experience</t>
  </si>
  <si>
    <t>GR8</t>
  </si>
  <si>
    <t>Art on wheels</t>
  </si>
  <si>
    <t>Show your car</t>
  </si>
  <si>
    <t>Lay Low</t>
  </si>
  <si>
    <t>Nitro Sensations</t>
  </si>
  <si>
    <t>Race Wars</t>
  </si>
  <si>
    <t>07:30</t>
  </si>
  <si>
    <t>Dropped Show</t>
  </si>
  <si>
    <t>Donckstraat meeting</t>
  </si>
  <si>
    <t>XTRMLOW-slammed&amp;docked</t>
  </si>
  <si>
    <t>Customville</t>
  </si>
  <si>
    <t>Sea Side Car Show</t>
  </si>
  <si>
    <t>Legend's-classics with attitude</t>
  </si>
  <si>
    <t>Kings of tuning</t>
  </si>
  <si>
    <t>Ragal fitmend Netherlands</t>
  </si>
  <si>
    <t>Stance Flair</t>
  </si>
  <si>
    <t>15:30</t>
  </si>
  <si>
    <t>Modified Night</t>
  </si>
  <si>
    <t>00:00</t>
  </si>
  <si>
    <t>Vaartdijk</t>
  </si>
  <si>
    <t>Anderlecht</t>
  </si>
  <si>
    <t xml:space="preserve">Olympische Dreef </t>
  </si>
  <si>
    <t>Rue Emile Vandervelde</t>
  </si>
  <si>
    <t>Saint-Ghislain</t>
  </si>
  <si>
    <t>Geeneinde</t>
  </si>
  <si>
    <t>Ravels</t>
  </si>
  <si>
    <t>Doorniksesteenweg</t>
  </si>
  <si>
    <t>Kortrijk</t>
  </si>
  <si>
    <t xml:space="preserve">De Arend </t>
  </si>
  <si>
    <t>Zedelgem</t>
  </si>
  <si>
    <t>Hoogstraat</t>
  </si>
  <si>
    <t>Bree</t>
  </si>
  <si>
    <t>23:00</t>
  </si>
  <si>
    <t>23:45</t>
  </si>
  <si>
    <t>Markt</t>
  </si>
  <si>
    <t>Tielt</t>
  </si>
  <si>
    <t>Breugelhoevestraat</t>
  </si>
  <si>
    <t>Nijlen</t>
  </si>
  <si>
    <t>Koeltorenlaan</t>
  </si>
  <si>
    <t>Heusden-Zolder</t>
  </si>
  <si>
    <t>Rue du Port</t>
  </si>
  <si>
    <t>Erquelinnes</t>
  </si>
  <si>
    <t>contact.xtrmlow@gmail.com</t>
  </si>
  <si>
    <t>Inzending</t>
  </si>
  <si>
    <t>Baron de Maerelaan</t>
  </si>
  <si>
    <t>Brugge</t>
  </si>
  <si>
    <t>22:30</t>
  </si>
  <si>
    <t>Ommegang West</t>
  </si>
  <si>
    <t>Staden</t>
  </si>
  <si>
    <t>kingsoftuning2026@hotmail.com</t>
  </si>
  <si>
    <t>Nieuwpoort</t>
  </si>
  <si>
    <t>Info@stanceflair.com</t>
  </si>
  <si>
    <t xml:space="preserve">Philipsstraße </t>
  </si>
  <si>
    <t>Aachen</t>
  </si>
  <si>
    <t>Vlamingveld</t>
  </si>
  <si>
    <t>Jabbeke</t>
  </si>
  <si>
    <t>22:00</t>
  </si>
  <si>
    <t>postcode</t>
  </si>
  <si>
    <t>Brussels</t>
  </si>
  <si>
    <t>Belgium</t>
  </si>
  <si>
    <t>Nordrhein-Westfalen</t>
  </si>
  <si>
    <t>Germany</t>
  </si>
  <si>
    <t>West-Vlaanderen</t>
  </si>
  <si>
    <t>https://www.dropped.be/</t>
  </si>
  <si>
    <t>facebook</t>
  </si>
  <si>
    <t>https://www.facebook.com/events/715522304727104</t>
  </si>
  <si>
    <t>https://www.facebook.com/events/1321330446233746/</t>
  </si>
  <si>
    <t>https://www.facebook.com/events/869874472652592/</t>
  </si>
  <si>
    <t>https://www.facebook.com/events/717685491059931</t>
  </si>
  <si>
    <t>https://www.facebook.com/events/1076306877393957/</t>
  </si>
  <si>
    <t>https://www.facebook.com/events/701988102968511/</t>
  </si>
  <si>
    <t>https://www.facebook.com/events/2063332707469672</t>
  </si>
  <si>
    <t>https://www.facebook.com/profile.php?id=61574992264632</t>
  </si>
  <si>
    <t>https://www.facebook.com/events/2054775612039196/</t>
  </si>
  <si>
    <t>https://www.facebook.com/events/2153513368419893</t>
  </si>
  <si>
    <t>https://www.facebook.com/events/851447440635700/</t>
  </si>
  <si>
    <t>https://www.facebook.com/events/726705856763881/</t>
  </si>
  <si>
    <t>https://www.facebook.com/events/1514059926465424/</t>
  </si>
  <si>
    <t>https://www.facebook.com/events/1646150149685765/</t>
  </si>
  <si>
    <t>https://www.facebook.com/events/1214998377182612/</t>
  </si>
  <si>
    <t>https://www.facebook.com/events/796601519871073/</t>
  </si>
  <si>
    <t>Hop &amp; Drop</t>
  </si>
  <si>
    <t>Dreamzz &amp; Shinezz dancing cars</t>
  </si>
  <si>
    <t>Adventure Tuning Night</t>
  </si>
  <si>
    <t>VW Busmeeting Westende</t>
  </si>
  <si>
    <t>Vag Legends Selected</t>
  </si>
  <si>
    <t>Modified Madness</t>
  </si>
  <si>
    <t>SCRWD</t>
  </si>
  <si>
    <t>La Gasolina</t>
  </si>
  <si>
    <t>The Rolling Connections</t>
  </si>
  <si>
    <t>Low On Weels</t>
  </si>
  <si>
    <t>Holy Stance</t>
  </si>
  <si>
    <t>Caramel IV</t>
  </si>
  <si>
    <t>Back To The Roots</t>
  </si>
  <si>
    <t>Retrospective</t>
  </si>
  <si>
    <t>Chique Belgique</t>
  </si>
  <si>
    <t>Dreamzz &amp; Shinezz By Night</t>
  </si>
  <si>
    <t>Risenation-Allstars</t>
  </si>
  <si>
    <t>Lazy Sunday</t>
  </si>
  <si>
    <t>Show Your Car</t>
  </si>
  <si>
    <t>Lowered Kingdom</t>
  </si>
  <si>
    <t>Meet The Passion</t>
  </si>
  <si>
    <t>666-Xcrew ft dreamzz &amp; shinezz</t>
  </si>
  <si>
    <t>Village</t>
  </si>
  <si>
    <t>Rise Of Stance</t>
  </si>
  <si>
    <t>The Dutch Wörthersee vagonly</t>
  </si>
  <si>
    <t>Fuerza Car Event</t>
  </si>
  <si>
    <t>Lowered Ink</t>
  </si>
  <si>
    <t>Freshest</t>
  </si>
  <si>
    <t>Petrol car event</t>
  </si>
  <si>
    <t>Back To The Roots By Night</t>
  </si>
  <si>
    <t>Bloody Car Night</t>
  </si>
  <si>
    <t>Leurebroekdreef</t>
  </si>
  <si>
    <t>Aalter</t>
  </si>
  <si>
    <t>https://www.facebook.com/events/1379124493755085/</t>
  </si>
  <si>
    <t xml:space="preserve">
Doornstraat</t>
  </si>
  <si>
    <t>Sint-Lievens-Esse</t>
  </si>
  <si>
    <t>https://www.facebook.com/events/1635298890772843/</t>
  </si>
  <si>
    <t>Koning Ridderdijk</t>
  </si>
  <si>
    <t>Westende</t>
  </si>
  <si>
    <t>https://www.facebook.com/BusMeetingWestende</t>
  </si>
  <si>
    <t>https://www.facebook.com/events/1296702525468166/</t>
  </si>
  <si>
    <t>Comines-Warneton</t>
  </si>
  <si>
    <t>Rue de Capelle</t>
  </si>
  <si>
    <t>Maasmechelen</t>
  </si>
  <si>
    <t>Kleine Dreef</t>
  </si>
  <si>
    <t>https://www.facebook.com/events/3974991052790789/</t>
  </si>
  <si>
    <t>https://www.vaglegends.com/sign-up/</t>
  </si>
  <si>
    <t>Beringstraat</t>
  </si>
  <si>
    <t>Boortmeerbeek</t>
  </si>
  <si>
    <t>https://www.facebook.com/events/2303544690142931/</t>
  </si>
  <si>
    <t>Boekenplein</t>
  </si>
  <si>
    <t>Waregem</t>
  </si>
  <si>
    <t>https://www.scrwdofficial.com/</t>
  </si>
  <si>
    <t>https://www.facebook.com/events/657228297483482/</t>
  </si>
  <si>
    <t>Bruggestraat</t>
  </si>
  <si>
    <t>Torhout</t>
  </si>
  <si>
    <t>https://www.facebook.com/events/694333716808036/</t>
  </si>
  <si>
    <t>15:45</t>
  </si>
  <si>
    <t>Vynckier site</t>
  </si>
  <si>
    <t>https://www.facebook.com/events/1420809676444533/</t>
  </si>
  <si>
    <t>Pereboomsteenweg</t>
  </si>
  <si>
    <t>Lokeren</t>
  </si>
  <si>
    <t>https://www.facebook.com/events/1488372582458038/</t>
  </si>
  <si>
    <t>PDMSCLLS</t>
  </si>
  <si>
    <t>Rue de Flénu</t>
  </si>
  <si>
    <t>1b</t>
  </si>
  <si>
    <t>Cuesmes</t>
  </si>
  <si>
    <t>https://www.facebook.com/events/691001647247016/</t>
  </si>
  <si>
    <t>01:00</t>
  </si>
  <si>
    <t>Assumstadt</t>
  </si>
  <si>
    <t>Möckmühl</t>
  </si>
  <si>
    <t>https://www.facebook.com/events/3068019423376947/</t>
  </si>
  <si>
    <t>https://my.deepdays.de/ds.automotive-holystance-996</t>
  </si>
  <si>
    <t>Kweekstraat</t>
  </si>
  <si>
    <t>Merksplas</t>
  </si>
  <si>
    <t>https://www.facebook.com/events/854723473776180/</t>
  </si>
  <si>
    <t>Rochesterlaan</t>
  </si>
  <si>
    <t>Gistel</t>
  </si>
  <si>
    <t>https://www.facebook.com/events/1793914884815101/</t>
  </si>
  <si>
    <t>Rise</t>
  </si>
  <si>
    <t>Passendaleplaats</t>
  </si>
  <si>
    <t>Zonnebeke</t>
  </si>
  <si>
    <t>https://www.facebook.com/events/763870466035123/</t>
  </si>
  <si>
    <t>Seggelant-Oost</t>
  </si>
  <si>
    <t>Vierpolders</t>
  </si>
  <si>
    <t>https://www.facebook.com/events/1574208773818576/</t>
  </si>
  <si>
    <t>https://www.facebook.com/events/1459351992279967?acontext=%7B%22event_action_history%22%3A[%7B%22mechanism%22%3A%22attachment%22%2C%22surface%22%3A%22newsfeed%22%7D]%2C%22ref_notif_type%22%3Anull%7D</t>
  </si>
  <si>
    <t>Evenbroekveld</t>
  </si>
  <si>
    <t>Erpe-Mere</t>
  </si>
  <si>
    <t>https://www.facebook.com/events/1907848363500586/</t>
  </si>
  <si>
    <t>Brabantlaan</t>
  </si>
  <si>
    <t>https://www.facebook.com/events/849035714734631/</t>
  </si>
  <si>
    <t>https://www.facebook.com/events/1981999182629645</t>
  </si>
  <si>
    <t>APSC</t>
  </si>
  <si>
    <t>Zangerbos</t>
  </si>
  <si>
    <t>Aartrijke</t>
  </si>
  <si>
    <t>apsc.selection@gmail.com</t>
  </si>
  <si>
    <t>https://www.facebook.com/events/25065024039793411/</t>
  </si>
  <si>
    <t>bree</t>
  </si>
  <si>
    <t>Dreamzz en Shinezz</t>
  </si>
  <si>
    <t>https://www.facebook.com/events/720842574369976</t>
  </si>
  <si>
    <t>Oostrozebekestraat</t>
  </si>
  <si>
    <t>Ingelmunster</t>
  </si>
  <si>
    <t>https://www.facebook.com/events/1836945587218111</t>
  </si>
  <si>
    <t>Olympiaplein</t>
  </si>
  <si>
    <t>Tilburg</t>
  </si>
  <si>
    <t>https://www.facebook.com/events/1178840961039002/</t>
  </si>
  <si>
    <t>https://www.facebook.com/events/1184342540287464</t>
  </si>
  <si>
    <t>Leemkuilstraat</t>
  </si>
  <si>
    <t>Opglabbeek</t>
  </si>
  <si>
    <t>https://www.facebook.com/events/1205078121428172/</t>
  </si>
  <si>
    <t>Lebbeke</t>
  </si>
  <si>
    <t>D'Helst</t>
  </si>
  <si>
    <t>https://www.facebook.com/events/2278755949302423</t>
  </si>
  <si>
    <t>Brouwersdam</t>
  </si>
  <si>
    <t>Ouddorp</t>
  </si>
  <si>
    <t>https://www.facebook.com/events/1912958449576909/</t>
  </si>
  <si>
    <t>19:00</t>
  </si>
  <si>
    <t>Lochtemanweg</t>
  </si>
  <si>
    <t>Zolder</t>
  </si>
  <si>
    <t>https://www.facebook.com/events/1415466896869672/</t>
  </si>
  <si>
    <t>Zuiderlaan</t>
  </si>
  <si>
    <t>https://www.facebook.com/events/26168946116046677/</t>
  </si>
  <si>
    <t>https://www.facebook.com/events/2335362860295403/</t>
  </si>
  <si>
    <t>Ringaertstraat</t>
  </si>
  <si>
    <t>https://www.facebook.com/events/1321063910030924/</t>
  </si>
  <si>
    <t>De Arend</t>
  </si>
  <si>
    <t>https://www.facebook.com/events/2886888238187017/</t>
  </si>
  <si>
    <t>https://www.facebook.com/events/810563465018582/</t>
  </si>
  <si>
    <t>Hainaut</t>
  </si>
  <si>
    <t>Baden-Württemberg</t>
  </si>
  <si>
    <t>Noord-Brabant</t>
  </si>
  <si>
    <t>Netherlands</t>
  </si>
  <si>
    <t>Zuid-Holland</t>
  </si>
  <si>
    <t>is_vip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</si>
</sst>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0"/>
      <name val="Arial"/>
      <family val="2"/>
    </font>
    <font>
      <u/>
      <sz val="10"/>
      <color theme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4" fontId="0" fillId="2" borderId="0" xfId="0" applyNumberForma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1" fillId="2" borderId="0" xfId="1" applyFill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" fontId="0" fillId="2" borderId="0" xfId="0" applyNumberFormat="1" applyFill="1" applyAlignment="1">
      <alignment horizontal="center" vertical="center" wrapText="1"/>
    </xf>
  </cellXfs>
  <cellStyles count="2">
    <cellStyle name="Hyperlink" xfId="1" builtinId="8"/>
    <cellStyle name="Standaard" xfId="0" builtinId="0"/>
  </cellStyles>
  <dxfs count="19"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1" formatCode="0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30" formatCode="@"/>
      <alignment horizontal="center" vertical="center" textRotation="0" wrapText="1" indent="0" justifyLastLine="0" shrinkToFit="0" readingOrder="0"/>
    </dxf>
    <dxf>
      <font>
        <b val="0"/>
      </font>
      <numFmt numFmtId="30" formatCode="@"/>
      <alignment horizontal="center" vertical="center" textRotation="0" wrapText="1" indent="0" justifyLastLine="0" shrinkToFit="0" readingOrder="0"/>
    </dxf>
    <dxf>
      <font>
        <b val="0"/>
      </font>
      <numFmt numFmtId="164" formatCode="yyyy\-mm\-dd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B5A6FC-A704-4912-9FB8-C16E8E0E4FFF}" name="Tabel1" displayName="Tabel1" ref="A1:Q58" totalsRowShown="0" headerRowDxfId="18" dataDxfId="17">
  <autoFilter ref="A1:Q58" xr:uid="{A1B5A6FC-A704-4912-9FB8-C16E8E0E4FFF}"/>
  <tableColumns count="17">
    <tableColumn id="1" xr3:uid="{579E4654-359D-45A8-A0A6-C89CE8782629}" name="title" dataDxfId="16"/>
    <tableColumn id="2" xr3:uid="{3136D9AF-24C9-4DFE-BF84-3A7D9501F0F3}" name="event_date" dataDxfId="15"/>
    <tableColumn id="3" xr3:uid="{6FE5A173-D32E-414F-9C4D-55BE6C0A782A}" name="start_time" dataDxfId="14"/>
    <tableColumn id="4" xr3:uid="{8BE3179F-9CBB-47C3-AE69-8346A77ACD26}" name="end_time" dataDxfId="13"/>
    <tableColumn id="5" xr3:uid="{9B0D252B-FC10-47B7-B199-61BB4E004AE8}" name="street" dataDxfId="12"/>
    <tableColumn id="6" xr3:uid="{E01979A0-150E-4D43-A6AA-AE2AA5B96898}" name="number" dataDxfId="11"/>
    <tableColumn id="7" xr3:uid="{7A546E52-7154-4F1F-9839-AA0C58C58C41}" name="postal_code" dataDxfId="10"/>
    <tableColumn id="8" xr3:uid="{DB24C5DB-A995-4919-95E8-6415DC2057D8}" name="city" dataDxfId="9"/>
    <tableColumn id="9" xr3:uid="{5DD1582C-083A-4639-965E-E19396019B98}" name="region" dataDxfId="8">
      <calculatedColumnFormula>_xlfn.XLOOKUP(G2,Locaties!A:A,Locaties!C:C,"")</calculatedColumnFormula>
    </tableColumn>
    <tableColumn id="10" xr3:uid="{E5C07A45-06A9-4CC2-A6CA-13F7D341A5FE}" name="country" dataDxfId="7">
      <calculatedColumnFormula>_xlfn.XLOOKUP(G2,Locaties!A:A,Locaties!D:D,"")</calculatedColumnFormula>
    </tableColumn>
    <tableColumn id="11" xr3:uid="{53B9D627-54A6-45E9-9112-AAA7E75A1716}" name="latitude" dataDxfId="6"/>
    <tableColumn id="12" xr3:uid="{0FAC2F6C-B845-480F-B8AB-5E5BF3643F08}" name="longitude" dataDxfId="5"/>
    <tableColumn id="13" xr3:uid="{B6B4A54F-7E0D-4229-AB7F-576E13280A26}" name="price" dataDxfId="4"/>
    <tableColumn id="14" xr3:uid="{23860819-0D33-4578-A8E7-57337D7A6539}" name="is_open" dataDxfId="3"/>
    <tableColumn id="15" xr3:uid="{B071A859-9F40-463D-AB9C-7077A0C62D6F}" name="Inzending" dataDxfId="2" dataCellStyle="Hyperlink"/>
    <tableColumn id="17" xr3:uid="{41CEAB86-B9C3-4D58-9F60-7088DDB26E2D}" name="is_vip" dataDxfId="0" dataCellStyle="Hyperlink"/>
    <tableColumn id="16" xr3:uid="{48503C47-F713-4AEB-8A44-324972F566F3}" name="facebook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events/120507812142817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my.deepdays.de/ds.automotive-holystance-996" TargetMode="External"/><Relationship Id="rId7" Type="http://schemas.openxmlformats.org/officeDocument/2006/relationships/hyperlink" Target="https://www.facebook.com/events/720842574369976" TargetMode="External"/><Relationship Id="rId12" Type="http://schemas.openxmlformats.org/officeDocument/2006/relationships/hyperlink" Target="https://www.facebook.com/events/810563465018582/" TargetMode="External"/><Relationship Id="rId2" Type="http://schemas.openxmlformats.org/officeDocument/2006/relationships/hyperlink" Target="mailto:kingsoftuning2026@hotmail.com" TargetMode="External"/><Relationship Id="rId1" Type="http://schemas.openxmlformats.org/officeDocument/2006/relationships/hyperlink" Target="mailto:Info@stanceflair.com" TargetMode="External"/><Relationship Id="rId6" Type="http://schemas.openxmlformats.org/officeDocument/2006/relationships/hyperlink" Target="https://www.facebook.com/events/25065024039793411/" TargetMode="External"/><Relationship Id="rId11" Type="http://schemas.openxmlformats.org/officeDocument/2006/relationships/hyperlink" Target="https://www.facebook.com/events/2886888238187017/" TargetMode="External"/><Relationship Id="rId5" Type="http://schemas.openxmlformats.org/officeDocument/2006/relationships/hyperlink" Target="mailto:apsc.selection@gmail.com" TargetMode="External"/><Relationship Id="rId10" Type="http://schemas.openxmlformats.org/officeDocument/2006/relationships/hyperlink" Target="https://www.facebook.com/events/1321063910030924/" TargetMode="External"/><Relationship Id="rId4" Type="http://schemas.openxmlformats.org/officeDocument/2006/relationships/hyperlink" Target="https://www.facebook.com/events/1574208773818576/" TargetMode="External"/><Relationship Id="rId9" Type="http://schemas.openxmlformats.org/officeDocument/2006/relationships/hyperlink" Target="https://www.facebook.com/events/141546689686967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D4" zoomScaleNormal="100" workbookViewId="0">
      <selection activeCell="L19" sqref="L19"/>
    </sheetView>
  </sheetViews>
  <sheetFormatPr defaultColWidth="11.5703125" defaultRowHeight="12.75" x14ac:dyDescent="0.2"/>
  <cols>
    <col min="1" max="1" width="16.85546875" customWidth="1"/>
    <col min="2" max="2" width="13.140625" customWidth="1"/>
    <col min="3" max="3" width="12" customWidth="1"/>
    <col min="4" max="4" width="11.5703125" customWidth="1"/>
    <col min="5" max="5" width="16" customWidth="1"/>
    <col min="6" max="6" width="10.140625" customWidth="1"/>
    <col min="7" max="7" width="14" customWidth="1"/>
    <col min="8" max="8" width="14.140625" customWidth="1"/>
    <col min="9" max="10" width="15" customWidth="1"/>
    <col min="11" max="11" width="10" customWidth="1"/>
    <col min="12" max="12" width="11.7109375" customWidth="1"/>
    <col min="13" max="13" width="7.7109375" customWidth="1"/>
    <col min="14" max="14" width="10.140625" customWidth="1"/>
    <col min="15" max="16" width="12.140625" customWidth="1"/>
  </cols>
  <sheetData>
    <row r="1" spans="1:17" ht="30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2" t="s">
        <v>6</v>
      </c>
      <c r="H1" s="4" t="s">
        <v>7</v>
      </c>
      <c r="I1" s="4" t="s">
        <v>8</v>
      </c>
      <c r="J1" s="4" t="s">
        <v>31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81</v>
      </c>
      <c r="P1" s="4" t="s">
        <v>253</v>
      </c>
      <c r="Q1" s="4" t="s">
        <v>102</v>
      </c>
    </row>
    <row r="2" spans="1:17" ht="30" customHeight="1" x14ac:dyDescent="0.2">
      <c r="A2" s="4" t="s">
        <v>32</v>
      </c>
      <c r="B2" s="5">
        <v>46096</v>
      </c>
      <c r="C2" s="6" t="s">
        <v>27</v>
      </c>
      <c r="D2" s="6"/>
      <c r="E2" s="4"/>
      <c r="F2" s="4"/>
      <c r="G2" s="12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30" customHeight="1" x14ac:dyDescent="0.2">
      <c r="A3" s="4" t="s">
        <v>33</v>
      </c>
      <c r="B3" s="5">
        <v>46102</v>
      </c>
      <c r="C3" s="6" t="s">
        <v>23</v>
      </c>
      <c r="D3" s="6" t="s">
        <v>56</v>
      </c>
      <c r="E3" s="4" t="s">
        <v>57</v>
      </c>
      <c r="F3" s="4">
        <v>3</v>
      </c>
      <c r="G3" s="12">
        <v>3018</v>
      </c>
      <c r="H3" s="4" t="s">
        <v>26</v>
      </c>
      <c r="I3" s="4" t="str">
        <f>IFERROR(_xlfn.XLOOKUP(G3, Locaties!A:A, Locaties!C:C), _xlfn.XLOOKUP(H3, Locaties!B:B, Locaties!C:C, ""))</f>
        <v>Vlaams-Brabant</v>
      </c>
      <c r="J3" s="4" t="str">
        <f>IFERROR(_xlfn.XLOOKUP(G3, Locaties!A:A, Locaties!D:D), _xlfn.XLOOKUP(H3, Locaties!B:B, Locaties!D:D, ""))</f>
        <v>Belgium</v>
      </c>
      <c r="K3" s="4"/>
      <c r="L3" s="4"/>
      <c r="M3" s="4">
        <v>10</v>
      </c>
      <c r="N3" s="4">
        <v>1</v>
      </c>
      <c r="O3" s="4"/>
      <c r="P3" s="4">
        <v>1</v>
      </c>
      <c r="Q3" s="4"/>
    </row>
    <row r="4" spans="1:17" ht="30" customHeight="1" x14ac:dyDescent="0.2">
      <c r="A4" s="4" t="s">
        <v>34</v>
      </c>
      <c r="B4" s="5">
        <v>46110</v>
      </c>
      <c r="C4" s="6" t="s">
        <v>27</v>
      </c>
      <c r="D4" s="6"/>
      <c r="E4" s="4" t="s">
        <v>59</v>
      </c>
      <c r="F4" s="4">
        <v>15</v>
      </c>
      <c r="G4" s="12">
        <v>1070</v>
      </c>
      <c r="H4" s="4" t="s">
        <v>58</v>
      </c>
      <c r="I4" s="4" t="str">
        <f>IFERROR(_xlfn.XLOOKUP(G4, Locaties!A:A, Locaties!C:C), _xlfn.XLOOKUP(H4, Locaties!B:B, Locaties!C:C, ""))</f>
        <v>Brussels</v>
      </c>
      <c r="J4" s="4" t="str">
        <f>IFERROR(_xlfn.XLOOKUP(G4, Locaties!A:A, Locaties!D:D), _xlfn.XLOOKUP(H4, Locaties!B:B, Locaties!D:D, ""))</f>
        <v>Belgium</v>
      </c>
      <c r="K4" s="4"/>
      <c r="L4" s="4"/>
      <c r="M4" s="4"/>
      <c r="N4" s="4">
        <v>1</v>
      </c>
      <c r="O4" s="4"/>
      <c r="P4" s="4">
        <v>1</v>
      </c>
      <c r="Q4" s="4"/>
    </row>
    <row r="5" spans="1:17" ht="30" customHeight="1" x14ac:dyDescent="0.2">
      <c r="A5" s="4" t="s">
        <v>35</v>
      </c>
      <c r="B5" s="5">
        <v>46110</v>
      </c>
      <c r="C5" s="6" t="s">
        <v>20</v>
      </c>
      <c r="D5" s="6" t="s">
        <v>30</v>
      </c>
      <c r="E5" s="4" t="s">
        <v>60</v>
      </c>
      <c r="F5" s="4">
        <v>113</v>
      </c>
      <c r="G5" s="12">
        <v>7332</v>
      </c>
      <c r="H5" s="4" t="s">
        <v>61</v>
      </c>
      <c r="I5" s="4" t="str">
        <f>IFERROR(_xlfn.XLOOKUP(G5, Locaties!A:A, Locaties!C:C), _xlfn.XLOOKUP(H5, Locaties!B:B, Locaties!C:C, ""))</f>
        <v>Hainaut</v>
      </c>
      <c r="J5" s="4" t="str">
        <f>IFERROR(_xlfn.XLOOKUP(G5, Locaties!A:A, Locaties!D:D), _xlfn.XLOOKUP(H5, Locaties!B:B, Locaties!D:D, ""))</f>
        <v>Belgium</v>
      </c>
      <c r="K5" s="4"/>
      <c r="L5" s="4"/>
      <c r="M5" s="4">
        <v>10</v>
      </c>
      <c r="N5" s="4">
        <v>1</v>
      </c>
      <c r="O5" s="4"/>
      <c r="P5" s="4">
        <v>1</v>
      </c>
      <c r="Q5" s="4" t="s">
        <v>118</v>
      </c>
    </row>
    <row r="6" spans="1:17" ht="30" customHeight="1" x14ac:dyDescent="0.2">
      <c r="A6" s="4" t="s">
        <v>36</v>
      </c>
      <c r="B6" s="5">
        <v>46117</v>
      </c>
      <c r="C6" s="6" t="s">
        <v>27</v>
      </c>
      <c r="D6" s="6" t="s">
        <v>23</v>
      </c>
      <c r="E6" s="4"/>
      <c r="F6" s="4"/>
      <c r="G6" s="12"/>
      <c r="H6" s="4"/>
      <c r="I6" s="4">
        <f>IFERROR(_xlfn.XLOOKUP(G6, Locaties!A:A, Locaties!C:C), _xlfn.XLOOKUP(H6, Locaties!B:B, Locaties!C:C, ""))</f>
        <v>0</v>
      </c>
      <c r="J6" s="4">
        <f>IFERROR(_xlfn.XLOOKUP(G6, Locaties!A:A, Locaties!D:D), _xlfn.XLOOKUP(H6, Locaties!B:B, Locaties!D:D, ""))</f>
        <v>0</v>
      </c>
      <c r="K6" s="4"/>
      <c r="L6" s="4"/>
      <c r="M6" s="4"/>
      <c r="N6" s="4">
        <v>1</v>
      </c>
      <c r="O6" s="4"/>
      <c r="P6" s="4">
        <v>1</v>
      </c>
      <c r="Q6" s="4" t="s">
        <v>117</v>
      </c>
    </row>
    <row r="7" spans="1:17" ht="30" customHeight="1" x14ac:dyDescent="0.2">
      <c r="A7" s="4" t="s">
        <v>37</v>
      </c>
      <c r="B7" s="5">
        <v>46124</v>
      </c>
      <c r="C7" s="6" t="s">
        <v>27</v>
      </c>
      <c r="D7" s="6" t="s">
        <v>23</v>
      </c>
      <c r="E7" s="4" t="s">
        <v>62</v>
      </c>
      <c r="F7" s="4">
        <v>54</v>
      </c>
      <c r="G7" s="12">
        <v>2381</v>
      </c>
      <c r="H7" s="4" t="s">
        <v>63</v>
      </c>
      <c r="I7" s="4" t="str">
        <f>IFERROR(_xlfn.XLOOKUP(G7, Locaties!A:A, Locaties!C:C), _xlfn.XLOOKUP(H7, Locaties!B:B, Locaties!C:C, ""))</f>
        <v>Antwerpen</v>
      </c>
      <c r="J7" s="4" t="str">
        <f>IFERROR(_xlfn.XLOOKUP(G7, Locaties!A:A, Locaties!D:D), _xlfn.XLOOKUP(H7, Locaties!B:B, Locaties!D:D, ""))</f>
        <v>Belgium</v>
      </c>
      <c r="K7" s="4"/>
      <c r="L7" s="4"/>
      <c r="M7" s="4"/>
      <c r="N7" s="4">
        <v>1</v>
      </c>
      <c r="O7" s="4"/>
      <c r="P7" s="4">
        <v>1</v>
      </c>
      <c r="Q7" s="4" t="s">
        <v>116</v>
      </c>
    </row>
    <row r="8" spans="1:17" ht="30" customHeight="1" x14ac:dyDescent="0.2">
      <c r="A8" s="4" t="s">
        <v>38</v>
      </c>
      <c r="B8" s="5">
        <v>46130</v>
      </c>
      <c r="C8" s="6" t="s">
        <v>20</v>
      </c>
      <c r="D8" s="6" t="s">
        <v>23</v>
      </c>
      <c r="E8" s="4" t="s">
        <v>64</v>
      </c>
      <c r="F8" s="4">
        <v>216</v>
      </c>
      <c r="G8" s="12"/>
      <c r="H8" s="4" t="s">
        <v>65</v>
      </c>
      <c r="I8" s="4">
        <f>IFERROR(_xlfn.XLOOKUP(G8, Locaties!A:A, Locaties!C:C), _xlfn.XLOOKUP(H8, Locaties!B:B, Locaties!C:C, ""))</f>
        <v>0</v>
      </c>
      <c r="J8" s="4">
        <f>IFERROR(_xlfn.XLOOKUP(G8, Locaties!A:A, Locaties!D:D), _xlfn.XLOOKUP(H8, Locaties!B:B, Locaties!D:D, ""))</f>
        <v>0</v>
      </c>
      <c r="K8" s="4"/>
      <c r="L8" s="4"/>
      <c r="M8" s="4"/>
      <c r="N8" s="4">
        <v>1</v>
      </c>
      <c r="O8" s="4"/>
      <c r="P8" s="4">
        <v>1</v>
      </c>
      <c r="Q8" s="4" t="s">
        <v>115</v>
      </c>
    </row>
    <row r="9" spans="1:17" ht="30" customHeight="1" x14ac:dyDescent="0.2">
      <c r="A9" s="4" t="s">
        <v>39</v>
      </c>
      <c r="B9" s="5">
        <v>46138</v>
      </c>
      <c r="C9" s="6" t="s">
        <v>27</v>
      </c>
      <c r="D9" s="6" t="s">
        <v>18</v>
      </c>
      <c r="E9" s="4" t="s">
        <v>66</v>
      </c>
      <c r="F9" s="4">
        <v>1</v>
      </c>
      <c r="G9" s="12"/>
      <c r="H9" s="4" t="s">
        <v>67</v>
      </c>
      <c r="I9" s="4">
        <f>IFERROR(_xlfn.XLOOKUP(G9, Locaties!A:A, Locaties!C:C), _xlfn.XLOOKUP(H9, Locaties!B:B, Locaties!C:C, ""))</f>
        <v>0</v>
      </c>
      <c r="J9" s="4">
        <f>IFERROR(_xlfn.XLOOKUP(G9, Locaties!A:A, Locaties!D:D), _xlfn.XLOOKUP(H9, Locaties!B:B, Locaties!D:D, ""))</f>
        <v>0</v>
      </c>
      <c r="K9" s="4"/>
      <c r="L9" s="4"/>
      <c r="M9" s="4"/>
      <c r="N9" s="4">
        <v>1</v>
      </c>
      <c r="O9" s="4"/>
      <c r="P9" s="4">
        <v>1</v>
      </c>
      <c r="Q9" s="4" t="s">
        <v>114</v>
      </c>
    </row>
    <row r="10" spans="1:17" ht="30" customHeight="1" x14ac:dyDescent="0.2">
      <c r="A10" s="4" t="s">
        <v>40</v>
      </c>
      <c r="B10" s="5">
        <v>46143</v>
      </c>
      <c r="C10" s="6" t="s">
        <v>14</v>
      </c>
      <c r="D10" s="6" t="s">
        <v>70</v>
      </c>
      <c r="E10" s="4" t="s">
        <v>68</v>
      </c>
      <c r="F10" s="4"/>
      <c r="G10" s="12">
        <v>3960</v>
      </c>
      <c r="H10" s="4" t="s">
        <v>69</v>
      </c>
      <c r="I10" s="4" t="str">
        <f>IFERROR(_xlfn.XLOOKUP(G10, Locaties!A:A, Locaties!C:C), _xlfn.XLOOKUP(H10, Locaties!B:B, Locaties!C:C, ""))</f>
        <v>Limburg</v>
      </c>
      <c r="J10" s="4" t="str">
        <f>IFERROR(_xlfn.XLOOKUP(G10, Locaties!A:A, Locaties!D:D), _xlfn.XLOOKUP(H10, Locaties!B:B, Locaties!D:D, ""))</f>
        <v>Belgium</v>
      </c>
      <c r="K10" s="4"/>
      <c r="L10" s="4"/>
      <c r="M10" s="4">
        <v>15</v>
      </c>
      <c r="N10" s="4">
        <v>0</v>
      </c>
      <c r="O10" s="4"/>
      <c r="P10" s="4">
        <v>1</v>
      </c>
      <c r="Q10" s="4" t="s">
        <v>113</v>
      </c>
    </row>
    <row r="11" spans="1:17" ht="30" customHeight="1" x14ac:dyDescent="0.2">
      <c r="A11" s="4" t="s">
        <v>41</v>
      </c>
      <c r="B11" s="5">
        <v>46145</v>
      </c>
      <c r="C11" s="6" t="s">
        <v>17</v>
      </c>
      <c r="D11" s="6" t="s">
        <v>23</v>
      </c>
      <c r="E11" s="4" t="s">
        <v>64</v>
      </c>
      <c r="F11" s="4">
        <v>145</v>
      </c>
      <c r="G11" s="12">
        <v>8550</v>
      </c>
      <c r="H11" s="4" t="s">
        <v>65</v>
      </c>
      <c r="I11" s="4" t="str">
        <f>IFERROR(_xlfn.XLOOKUP(G11, Locaties!A:A, Locaties!C:C), _xlfn.XLOOKUP(H11, Locaties!B:B, Locaties!C:C, ""))</f>
        <v>West-Vlaanderen</v>
      </c>
      <c r="J11" s="4" t="str">
        <f>IFERROR(_xlfn.XLOOKUP(G11, Locaties!A:A, Locaties!D:D), _xlfn.XLOOKUP(H11, Locaties!B:B, Locaties!D:D, ""))</f>
        <v>Belgium</v>
      </c>
      <c r="K11" s="4"/>
      <c r="L11" s="4"/>
      <c r="M11" s="4"/>
      <c r="N11" s="4">
        <v>1</v>
      </c>
      <c r="O11" s="4"/>
      <c r="P11" s="4">
        <v>1</v>
      </c>
      <c r="Q11" s="4" t="s">
        <v>112</v>
      </c>
    </row>
    <row r="12" spans="1:17" ht="30" customHeight="1" x14ac:dyDescent="0.2">
      <c r="A12" s="4" t="s">
        <v>42</v>
      </c>
      <c r="B12" s="5">
        <v>46151</v>
      </c>
      <c r="C12" s="6" t="s">
        <v>23</v>
      </c>
      <c r="D12" s="6" t="s">
        <v>71</v>
      </c>
      <c r="E12" s="4" t="s">
        <v>72</v>
      </c>
      <c r="F12" s="4"/>
      <c r="G12" s="12">
        <v>8700</v>
      </c>
      <c r="H12" s="4" t="s">
        <v>73</v>
      </c>
      <c r="I12" s="4" t="str">
        <f>IFERROR(_xlfn.XLOOKUP(G12, Locaties!A:A, Locaties!C:C), _xlfn.XLOOKUP(H12, Locaties!B:B, Locaties!C:C, ""))</f>
        <v>West-Vlaanderen</v>
      </c>
      <c r="J12" s="4" t="str">
        <f>IFERROR(_xlfn.XLOOKUP(G12, Locaties!A:A, Locaties!D:D), _xlfn.XLOOKUP(H12, Locaties!B:B, Locaties!D:D, ""))</f>
        <v>Belgium</v>
      </c>
      <c r="K12" s="4"/>
      <c r="L12" s="4"/>
      <c r="M12" s="4"/>
      <c r="N12" s="4">
        <v>1</v>
      </c>
      <c r="O12" s="4"/>
      <c r="P12" s="4">
        <v>1</v>
      </c>
      <c r="Q12" s="4" t="s">
        <v>111</v>
      </c>
    </row>
    <row r="13" spans="1:17" ht="30" customHeight="1" x14ac:dyDescent="0.2">
      <c r="A13" s="4" t="s">
        <v>43</v>
      </c>
      <c r="B13" s="5">
        <v>46152</v>
      </c>
      <c r="C13" s="6" t="s">
        <v>44</v>
      </c>
      <c r="D13" s="6"/>
      <c r="E13" s="4" t="s">
        <v>74</v>
      </c>
      <c r="F13" s="4">
        <v>97</v>
      </c>
      <c r="G13" s="12"/>
      <c r="H13" s="4" t="s">
        <v>75</v>
      </c>
      <c r="I13" s="4">
        <f>IFERROR(_xlfn.XLOOKUP(G13, Locaties!A:A, Locaties!C:C), _xlfn.XLOOKUP(H13, Locaties!B:B, Locaties!C:C, ""))</f>
        <v>0</v>
      </c>
      <c r="J13" s="4">
        <f>IFERROR(_xlfn.XLOOKUP(G13, Locaties!A:A, Locaties!D:D), _xlfn.XLOOKUP(H13, Locaties!B:B, Locaties!D:D, ""))</f>
        <v>0</v>
      </c>
      <c r="K13" s="4"/>
      <c r="L13" s="4"/>
      <c r="M13" s="4"/>
      <c r="N13" s="4">
        <v>1</v>
      </c>
      <c r="O13" s="4"/>
      <c r="P13" s="4">
        <v>1</v>
      </c>
      <c r="Q13" s="4" t="s">
        <v>110</v>
      </c>
    </row>
    <row r="14" spans="1:17" ht="30" customHeight="1" x14ac:dyDescent="0.2">
      <c r="A14" s="4" t="s">
        <v>45</v>
      </c>
      <c r="B14" s="5">
        <v>46152</v>
      </c>
      <c r="C14" s="6" t="s">
        <v>20</v>
      </c>
      <c r="D14" s="6" t="s">
        <v>23</v>
      </c>
      <c r="E14" s="4" t="s">
        <v>76</v>
      </c>
      <c r="F14" s="4"/>
      <c r="G14" s="12">
        <v>3550</v>
      </c>
      <c r="H14" s="4" t="s">
        <v>77</v>
      </c>
      <c r="I14" s="4" t="str">
        <f>IFERROR(_xlfn.XLOOKUP(G14, Locaties!A:A, Locaties!C:C), _xlfn.XLOOKUP(H14, Locaties!B:B, Locaties!C:C, ""))</f>
        <v>Limburg</v>
      </c>
      <c r="J14" s="4" t="str">
        <f>IFERROR(_xlfn.XLOOKUP(G14, Locaties!A:A, Locaties!D:D), _xlfn.XLOOKUP(H14, Locaties!B:B, Locaties!D:D, ""))</f>
        <v>Belgium</v>
      </c>
      <c r="K14" s="4"/>
      <c r="L14" s="4"/>
      <c r="M14" s="4"/>
      <c r="N14" s="4">
        <v>0</v>
      </c>
      <c r="O14" s="4" t="s">
        <v>101</v>
      </c>
      <c r="P14" s="4">
        <v>1</v>
      </c>
      <c r="Q14" s="4" t="s">
        <v>109</v>
      </c>
    </row>
    <row r="15" spans="1:17" ht="30" customHeight="1" x14ac:dyDescent="0.2">
      <c r="A15" s="4" t="s">
        <v>46</v>
      </c>
      <c r="B15" s="5">
        <v>45791</v>
      </c>
      <c r="C15" s="6" t="s">
        <v>20</v>
      </c>
      <c r="D15" s="6"/>
      <c r="E15" s="4"/>
      <c r="F15" s="4"/>
      <c r="G15" s="12"/>
      <c r="H15" s="4"/>
      <c r="I15" s="4">
        <f>IFERROR(_xlfn.XLOOKUP(G15, Locaties!A:A, Locaties!C:C), _xlfn.XLOOKUP(H15, Locaties!B:B, Locaties!C:C, ""))</f>
        <v>0</v>
      </c>
      <c r="J15" s="4">
        <f>IFERROR(_xlfn.XLOOKUP(G15, Locaties!A:A, Locaties!D:D), _xlfn.XLOOKUP(H15, Locaties!B:B, Locaties!D:D, ""))</f>
        <v>0</v>
      </c>
      <c r="K15" s="4"/>
      <c r="L15" s="4"/>
      <c r="M15" s="4"/>
      <c r="N15" s="4">
        <v>1</v>
      </c>
      <c r="O15" s="4"/>
      <c r="P15" s="4">
        <v>1</v>
      </c>
      <c r="Q15" s="4"/>
    </row>
    <row r="16" spans="1:17" ht="30" customHeight="1" x14ac:dyDescent="0.2">
      <c r="A16" s="4" t="s">
        <v>47</v>
      </c>
      <c r="B16" s="5">
        <v>46159</v>
      </c>
      <c r="C16" s="6" t="s">
        <v>17</v>
      </c>
      <c r="D16" s="6" t="s">
        <v>25</v>
      </c>
      <c r="E16" s="4" t="s">
        <v>78</v>
      </c>
      <c r="F16" s="4">
        <v>59</v>
      </c>
      <c r="G16" s="12">
        <v>6560</v>
      </c>
      <c r="H16" s="4" t="s">
        <v>79</v>
      </c>
      <c r="I16" s="4" t="str">
        <f>IFERROR(_xlfn.XLOOKUP(G16, Locaties!A:A, Locaties!C:C), _xlfn.XLOOKUP(H16, Locaties!B:B, Locaties!C:C, ""))</f>
        <v>Hainaut</v>
      </c>
      <c r="J16" s="4" t="str">
        <f>IFERROR(_xlfn.XLOOKUP(G16, Locaties!A:A, Locaties!D:D), _xlfn.XLOOKUP(H16, Locaties!B:B, Locaties!D:D, ""))</f>
        <v>Belgium</v>
      </c>
      <c r="K16" s="4"/>
      <c r="L16" s="4"/>
      <c r="M16" s="4"/>
      <c r="N16" s="4">
        <v>0</v>
      </c>
      <c r="O16" s="4" t="s">
        <v>80</v>
      </c>
      <c r="P16" s="4">
        <v>1</v>
      </c>
      <c r="Q16" s="4" t="s">
        <v>108</v>
      </c>
    </row>
    <row r="17" spans="1:17" ht="30" customHeight="1" x14ac:dyDescent="0.2">
      <c r="A17" s="4" t="s">
        <v>48</v>
      </c>
      <c r="B17" s="5">
        <v>46159</v>
      </c>
      <c r="C17" s="6" t="s">
        <v>17</v>
      </c>
      <c r="D17" s="6"/>
      <c r="E17" s="4"/>
      <c r="F17" s="4"/>
      <c r="G17" s="12"/>
      <c r="H17" s="4"/>
      <c r="I17" s="4">
        <f>IFERROR(_xlfn.XLOOKUP(G17, Locaties!A:A, Locaties!C:C), _xlfn.XLOOKUP(H17, Locaties!B:B, Locaties!C:C, ""))</f>
        <v>0</v>
      </c>
      <c r="J17" s="4">
        <f>IFERROR(_xlfn.XLOOKUP(G17, Locaties!A:A, Locaties!D:D), _xlfn.XLOOKUP(H17, Locaties!B:B, Locaties!D:D, ""))</f>
        <v>0</v>
      </c>
      <c r="K17" s="4"/>
      <c r="L17" s="4"/>
      <c r="M17" s="4"/>
      <c r="N17" s="4">
        <v>1</v>
      </c>
      <c r="O17" s="7"/>
      <c r="P17" s="4">
        <v>1</v>
      </c>
      <c r="Q17" s="4"/>
    </row>
    <row r="18" spans="1:17" ht="30" customHeight="1" x14ac:dyDescent="0.2">
      <c r="A18" s="4" t="s">
        <v>49</v>
      </c>
      <c r="B18" s="5">
        <v>46200</v>
      </c>
      <c r="C18" s="6" t="s">
        <v>24</v>
      </c>
      <c r="D18" s="6" t="s">
        <v>84</v>
      </c>
      <c r="E18" s="4" t="s">
        <v>82</v>
      </c>
      <c r="F18" s="4">
        <v>2</v>
      </c>
      <c r="G18" s="12">
        <v>8380</v>
      </c>
      <c r="H18" s="4" t="s">
        <v>83</v>
      </c>
      <c r="I18" s="4" t="str">
        <f>IFERROR(_xlfn.XLOOKUP(G18, Locaties!A:A, Locaties!C:C), _xlfn.XLOOKUP(H18, Locaties!B:B, Locaties!C:C, ""))</f>
        <v>West-Vlaanderen</v>
      </c>
      <c r="J18" s="4" t="str">
        <f>IFERROR(_xlfn.XLOOKUP(G18, Locaties!A:A, Locaties!D:D), _xlfn.XLOOKUP(H18, Locaties!B:B, Locaties!D:D, ""))</f>
        <v>Belgium</v>
      </c>
      <c r="K18" s="4"/>
      <c r="L18" s="4"/>
      <c r="M18" s="4"/>
      <c r="N18" s="4">
        <v>1</v>
      </c>
      <c r="O18" s="7"/>
      <c r="P18" s="4">
        <v>1</v>
      </c>
      <c r="Q18" s="4" t="s">
        <v>107</v>
      </c>
    </row>
    <row r="19" spans="1:17" ht="30" customHeight="1" x14ac:dyDescent="0.2">
      <c r="A19" s="4" t="s">
        <v>50</v>
      </c>
      <c r="B19" s="5">
        <v>46166</v>
      </c>
      <c r="C19" s="6" t="s">
        <v>17</v>
      </c>
      <c r="D19" s="6" t="s">
        <v>23</v>
      </c>
      <c r="E19" s="4" t="s">
        <v>85</v>
      </c>
      <c r="F19" s="4">
        <v>9</v>
      </c>
      <c r="G19" s="12">
        <v>8840</v>
      </c>
      <c r="H19" s="4" t="s">
        <v>86</v>
      </c>
      <c r="I19" s="4" t="str">
        <f>IFERROR(_xlfn.XLOOKUP(G19, Locaties!A:A, Locaties!C:C), _xlfn.XLOOKUP(H19, Locaties!B:B, Locaties!C:C, ""))</f>
        <v>West-Vlaanderen</v>
      </c>
      <c r="J19" s="4" t="str">
        <f>IFERROR(_xlfn.XLOOKUP(G19, Locaties!A:A, Locaties!D:D), _xlfn.XLOOKUP(H19, Locaties!B:B, Locaties!D:D, ""))</f>
        <v>Belgium</v>
      </c>
      <c r="K19" s="4"/>
      <c r="L19" s="4"/>
      <c r="M19" s="4">
        <v>0</v>
      </c>
      <c r="N19" s="4">
        <v>1</v>
      </c>
      <c r="O19" s="4"/>
      <c r="P19" s="4">
        <v>1</v>
      </c>
      <c r="Q19" s="4" t="s">
        <v>106</v>
      </c>
    </row>
    <row r="20" spans="1:17" ht="30" customHeight="1" x14ac:dyDescent="0.2">
      <c r="A20" s="4" t="s">
        <v>51</v>
      </c>
      <c r="B20" s="5">
        <v>46198</v>
      </c>
      <c r="C20" s="6" t="s">
        <v>29</v>
      </c>
      <c r="D20" s="6" t="s">
        <v>25</v>
      </c>
      <c r="E20" s="4"/>
      <c r="F20" s="4"/>
      <c r="G20" s="12"/>
      <c r="H20" s="4" t="s">
        <v>88</v>
      </c>
      <c r="I20" s="4">
        <f>IFERROR(_xlfn.XLOOKUP(G20, Locaties!A:A, Locaties!C:C), _xlfn.XLOOKUP(H20, Locaties!B:B, Locaties!C:C, ""))</f>
        <v>0</v>
      </c>
      <c r="J20" s="4">
        <f>IFERROR(_xlfn.XLOOKUP(G20, Locaties!A:A, Locaties!D:D), _xlfn.XLOOKUP(H20, Locaties!B:B, Locaties!D:D, ""))</f>
        <v>0</v>
      </c>
      <c r="K20" s="4"/>
      <c r="L20" s="4"/>
      <c r="M20" s="4">
        <v>15</v>
      </c>
      <c r="N20" s="4">
        <v>0</v>
      </c>
      <c r="O20" s="7" t="s">
        <v>87</v>
      </c>
      <c r="P20" s="4">
        <v>1</v>
      </c>
      <c r="Q20" s="4" t="s">
        <v>105</v>
      </c>
    </row>
    <row r="21" spans="1:17" ht="30" customHeight="1" x14ac:dyDescent="0.2">
      <c r="A21" s="4" t="s">
        <v>52</v>
      </c>
      <c r="B21" s="5">
        <v>46172</v>
      </c>
      <c r="C21" s="6" t="s">
        <v>29</v>
      </c>
      <c r="D21" s="6"/>
      <c r="E21" s="4"/>
      <c r="F21" s="4"/>
      <c r="G21" s="12"/>
      <c r="H21" s="4"/>
      <c r="I21" s="4">
        <f>IFERROR(_xlfn.XLOOKUP(G21, Locaties!A:A, Locaties!C:C), _xlfn.XLOOKUP(H21, Locaties!B:B, Locaties!C:C, ""))</f>
        <v>0</v>
      </c>
      <c r="J21" s="4">
        <f>IFERROR(_xlfn.XLOOKUP(G21, Locaties!A:A, Locaties!D:D), _xlfn.XLOOKUP(H21, Locaties!B:B, Locaties!D:D, ""))</f>
        <v>0</v>
      </c>
      <c r="K21" s="4"/>
      <c r="L21" s="4"/>
      <c r="M21" s="4"/>
      <c r="N21" s="4">
        <v>1</v>
      </c>
      <c r="O21" s="4"/>
      <c r="P21" s="4">
        <v>1</v>
      </c>
      <c r="Q21" s="4"/>
    </row>
    <row r="22" spans="1:17" ht="30" customHeight="1" x14ac:dyDescent="0.2">
      <c r="A22" s="4" t="s">
        <v>53</v>
      </c>
      <c r="B22" s="5">
        <v>46172</v>
      </c>
      <c r="C22" s="6" t="s">
        <v>54</v>
      </c>
      <c r="D22" s="6" t="s">
        <v>94</v>
      </c>
      <c r="E22" s="4" t="s">
        <v>90</v>
      </c>
      <c r="F22" s="4">
        <v>15</v>
      </c>
      <c r="G22" s="12">
        <v>52068</v>
      </c>
      <c r="H22" s="4" t="s">
        <v>91</v>
      </c>
      <c r="I22" s="4" t="str">
        <f>IFERROR(_xlfn.XLOOKUP(G22, Locaties!A:A, Locaties!C:C), _xlfn.XLOOKUP(H22, Locaties!B:B, Locaties!C:C, ""))</f>
        <v>Nordrhein-Westfalen</v>
      </c>
      <c r="J22" s="4" t="str">
        <f>IFERROR(_xlfn.XLOOKUP(G22, Locaties!A:A, Locaties!D:D), _xlfn.XLOOKUP(H22, Locaties!B:B, Locaties!D:D, ""))</f>
        <v>Germany</v>
      </c>
      <c r="K22" s="4"/>
      <c r="L22" s="4"/>
      <c r="M22" s="4"/>
      <c r="N22" s="4">
        <v>0</v>
      </c>
      <c r="O22" s="7" t="s">
        <v>89</v>
      </c>
      <c r="P22" s="4">
        <v>1</v>
      </c>
      <c r="Q22" s="4" t="s">
        <v>104</v>
      </c>
    </row>
    <row r="23" spans="1:17" ht="30" customHeight="1" x14ac:dyDescent="0.2">
      <c r="A23" s="4" t="s">
        <v>55</v>
      </c>
      <c r="B23" s="5">
        <v>46179</v>
      </c>
      <c r="C23" s="6" t="s">
        <v>14</v>
      </c>
      <c r="D23" s="6" t="s">
        <v>70</v>
      </c>
      <c r="E23" s="4" t="s">
        <v>92</v>
      </c>
      <c r="F23" s="4">
        <v>40</v>
      </c>
      <c r="G23" s="12">
        <v>8490</v>
      </c>
      <c r="H23" s="4" t="s">
        <v>93</v>
      </c>
      <c r="I23" s="4" t="str">
        <f>IFERROR(_xlfn.XLOOKUP(G23, Locaties!A:A, Locaties!C:C), _xlfn.XLOOKUP(H23, Locaties!B:B, Locaties!C:C, ""))</f>
        <v>West-Vlaanderen</v>
      </c>
      <c r="J23" s="4" t="str">
        <f>IFERROR(_xlfn.XLOOKUP(G23, Locaties!A:A, Locaties!D:D), _xlfn.XLOOKUP(H23, Locaties!B:B, Locaties!D:D, ""))</f>
        <v>Belgium</v>
      </c>
      <c r="K23" s="4"/>
      <c r="L23" s="4"/>
      <c r="M23" s="4"/>
      <c r="N23" s="4">
        <v>1</v>
      </c>
      <c r="O23" s="4"/>
      <c r="P23" s="4">
        <v>1</v>
      </c>
      <c r="Q23" s="4" t="s">
        <v>103</v>
      </c>
    </row>
    <row r="24" spans="1:17" ht="30" customHeight="1" x14ac:dyDescent="0.2">
      <c r="A24" s="4" t="s">
        <v>119</v>
      </c>
      <c r="B24" s="5">
        <v>46180</v>
      </c>
      <c r="C24" s="6" t="s">
        <v>27</v>
      </c>
      <c r="D24" s="6" t="s">
        <v>23</v>
      </c>
      <c r="E24" s="4" t="s">
        <v>150</v>
      </c>
      <c r="F24" s="4"/>
      <c r="G24" s="12">
        <v>9880</v>
      </c>
      <c r="H24" s="4" t="s">
        <v>151</v>
      </c>
      <c r="I24" s="4" t="str">
        <f>IFERROR(_xlfn.XLOOKUP(G24, Locaties!A:A, Locaties!C:C), _xlfn.XLOOKUP(H24, Locaties!B:B, Locaties!C:C, ""))</f>
        <v>Oost-Vlaanderen</v>
      </c>
      <c r="J24" s="4" t="str">
        <f>IFERROR(_xlfn.XLOOKUP(G24, Locaties!A:A, Locaties!D:D), _xlfn.XLOOKUP(H24, Locaties!B:B, Locaties!D:D, ""))</f>
        <v>Belgium</v>
      </c>
      <c r="K24" s="4"/>
      <c r="L24" s="4"/>
      <c r="M24" s="4"/>
      <c r="N24" s="4">
        <v>1</v>
      </c>
      <c r="O24" s="7"/>
      <c r="P24" s="4">
        <v>0</v>
      </c>
      <c r="Q24" s="4" t="s">
        <v>152</v>
      </c>
    </row>
    <row r="25" spans="1:17" ht="30" customHeight="1" x14ac:dyDescent="0.2">
      <c r="A25" s="4" t="s">
        <v>120</v>
      </c>
      <c r="B25" s="5">
        <v>46180</v>
      </c>
      <c r="C25" s="6" t="s">
        <v>27</v>
      </c>
      <c r="D25" s="6" t="s">
        <v>23</v>
      </c>
      <c r="E25" s="4" t="s">
        <v>153</v>
      </c>
      <c r="F25" s="4">
        <v>3</v>
      </c>
      <c r="G25" s="12">
        <v>9550</v>
      </c>
      <c r="H25" s="4" t="s">
        <v>154</v>
      </c>
      <c r="I25" s="4" t="str">
        <f>IFERROR(_xlfn.XLOOKUP(G25, Locaties!A:A, Locaties!C:C), _xlfn.XLOOKUP(H25, Locaties!B:B, Locaties!C:C, ""))</f>
        <v>Oost-Vlaanderen</v>
      </c>
      <c r="J25" s="4" t="str">
        <f>IFERROR(_xlfn.XLOOKUP(G25, Locaties!A:A, Locaties!D:D), _xlfn.XLOOKUP(H25, Locaties!B:B, Locaties!D:D, ""))</f>
        <v>Belgium</v>
      </c>
      <c r="K25" s="4"/>
      <c r="L25" s="4"/>
      <c r="M25" s="4"/>
      <c r="N25" s="4">
        <v>1</v>
      </c>
      <c r="O25" s="7"/>
      <c r="P25" s="4">
        <v>1</v>
      </c>
      <c r="Q25" s="4" t="s">
        <v>155</v>
      </c>
    </row>
    <row r="26" spans="1:17" ht="30" customHeight="1" x14ac:dyDescent="0.2">
      <c r="A26" s="4" t="s">
        <v>122</v>
      </c>
      <c r="B26" s="5"/>
      <c r="C26" s="6"/>
      <c r="D26" s="6"/>
      <c r="E26" s="4" t="s">
        <v>156</v>
      </c>
      <c r="F26" s="4">
        <v>100</v>
      </c>
      <c r="G26" s="12">
        <v>8434</v>
      </c>
      <c r="H26" s="4" t="s">
        <v>157</v>
      </c>
      <c r="I26" s="4" t="str">
        <f>IFERROR(_xlfn.XLOOKUP(G26, Locaties!A:A, Locaties!C:C), _xlfn.XLOOKUP(H26, Locaties!B:B, Locaties!C:C, ""))</f>
        <v>West-Vlaanderen</v>
      </c>
      <c r="J26" s="4" t="str">
        <f>IFERROR(_xlfn.XLOOKUP(G26, Locaties!A:A, Locaties!D:D), _xlfn.XLOOKUP(H26, Locaties!B:B, Locaties!D:D, ""))</f>
        <v>Belgium</v>
      </c>
      <c r="K26" s="4"/>
      <c r="L26" s="4"/>
      <c r="M26" s="4">
        <v>0</v>
      </c>
      <c r="N26" s="4">
        <v>1</v>
      </c>
      <c r="O26" s="7"/>
      <c r="P26" s="4">
        <v>1</v>
      </c>
      <c r="Q26" s="4" t="s">
        <v>158</v>
      </c>
    </row>
    <row r="27" spans="1:17" ht="30" customHeight="1" x14ac:dyDescent="0.2">
      <c r="A27" s="4" t="s">
        <v>121</v>
      </c>
      <c r="B27" s="5">
        <v>46186</v>
      </c>
      <c r="C27" s="6" t="s">
        <v>14</v>
      </c>
      <c r="D27" s="6" t="s">
        <v>71</v>
      </c>
      <c r="E27" s="4" t="s">
        <v>161</v>
      </c>
      <c r="F27" s="4">
        <v>16</v>
      </c>
      <c r="G27" s="12">
        <v>7780</v>
      </c>
      <c r="H27" s="4" t="s">
        <v>160</v>
      </c>
      <c r="I27" s="4" t="str">
        <f>IFERROR(_xlfn.XLOOKUP(G27, Locaties!A:A, Locaties!C:C), _xlfn.XLOOKUP(H27, Locaties!B:B, Locaties!C:C, ""))</f>
        <v>Hainaut</v>
      </c>
      <c r="J27" s="4" t="str">
        <f>IFERROR(_xlfn.XLOOKUP(G27, Locaties!A:A, Locaties!D:D), _xlfn.XLOOKUP(H27, Locaties!B:B, Locaties!D:D, ""))</f>
        <v>Belgium</v>
      </c>
      <c r="K27" s="4"/>
      <c r="L27" s="4"/>
      <c r="M27" s="4">
        <v>15</v>
      </c>
      <c r="N27" s="4">
        <v>1</v>
      </c>
      <c r="O27" s="7"/>
      <c r="P27" s="4">
        <v>1</v>
      </c>
      <c r="Q27" s="4" t="s">
        <v>159</v>
      </c>
    </row>
    <row r="28" spans="1:17" ht="30" customHeight="1" x14ac:dyDescent="0.2">
      <c r="A28" s="4" t="s">
        <v>123</v>
      </c>
      <c r="B28" s="5">
        <v>46186</v>
      </c>
      <c r="C28" s="6" t="s">
        <v>30</v>
      </c>
      <c r="D28" s="6" t="s">
        <v>23</v>
      </c>
      <c r="E28" s="4" t="s">
        <v>163</v>
      </c>
      <c r="F28" s="4">
        <v>147</v>
      </c>
      <c r="G28" s="12">
        <v>3630</v>
      </c>
      <c r="H28" s="4" t="s">
        <v>162</v>
      </c>
      <c r="I28" s="4" t="str">
        <f>IFERROR(_xlfn.XLOOKUP(G28, Locaties!A:A, Locaties!C:C), _xlfn.XLOOKUP(H28, Locaties!B:B, Locaties!C:C, ""))</f>
        <v>Limburg</v>
      </c>
      <c r="J28" s="4" t="str">
        <f>IFERROR(_xlfn.XLOOKUP(G28, Locaties!A:A, Locaties!D:D), _xlfn.XLOOKUP(H28, Locaties!B:B, Locaties!D:D, ""))</f>
        <v>Belgium</v>
      </c>
      <c r="K28" s="4"/>
      <c r="L28" s="4"/>
      <c r="M28" s="4"/>
      <c r="N28" s="4">
        <v>0</v>
      </c>
      <c r="O28" s="7" t="s">
        <v>165</v>
      </c>
      <c r="P28" s="4">
        <v>1</v>
      </c>
      <c r="Q28" s="4" t="s">
        <v>164</v>
      </c>
    </row>
    <row r="29" spans="1:17" ht="30" customHeight="1" x14ac:dyDescent="0.2">
      <c r="A29" s="4" t="s">
        <v>124</v>
      </c>
      <c r="B29" s="5">
        <v>46187</v>
      </c>
      <c r="C29" s="6" t="s">
        <v>20</v>
      </c>
      <c r="D29" s="6" t="s">
        <v>30</v>
      </c>
      <c r="E29" s="4" t="s">
        <v>166</v>
      </c>
      <c r="F29" s="4"/>
      <c r="G29" s="12">
        <v>3190</v>
      </c>
      <c r="H29" s="4" t="s">
        <v>167</v>
      </c>
      <c r="I29" s="4" t="str">
        <f>IFERROR(_xlfn.XLOOKUP(G29, Locaties!A:A, Locaties!C:C), _xlfn.XLOOKUP(H29, Locaties!B:B, Locaties!C:C, ""))</f>
        <v>Vlaams-Brabant</v>
      </c>
      <c r="J29" s="4" t="str">
        <f>IFERROR(_xlfn.XLOOKUP(G29, Locaties!A:A, Locaties!D:D), _xlfn.XLOOKUP(H29, Locaties!B:B, Locaties!D:D, ""))</f>
        <v>Belgium</v>
      </c>
      <c r="K29" s="4"/>
      <c r="L29" s="4"/>
      <c r="M29" s="4">
        <v>15</v>
      </c>
      <c r="N29" s="4">
        <v>1</v>
      </c>
      <c r="O29" s="7"/>
      <c r="P29" s="4">
        <v>1</v>
      </c>
      <c r="Q29" s="4" t="s">
        <v>168</v>
      </c>
    </row>
    <row r="30" spans="1:17" ht="30" customHeight="1" x14ac:dyDescent="0.2">
      <c r="A30" s="4" t="s">
        <v>125</v>
      </c>
      <c r="B30" s="5">
        <v>46194</v>
      </c>
      <c r="C30" s="6" t="s">
        <v>27</v>
      </c>
      <c r="D30" s="6" t="s">
        <v>30</v>
      </c>
      <c r="E30" s="4" t="s">
        <v>169</v>
      </c>
      <c r="F30" s="4">
        <v>4</v>
      </c>
      <c r="G30" s="12">
        <v>8790</v>
      </c>
      <c r="H30" s="4" t="s">
        <v>170</v>
      </c>
      <c r="I30" s="4" t="str">
        <f>IFERROR(_xlfn.XLOOKUP(G30, Locaties!A:A, Locaties!C:C), _xlfn.XLOOKUP(H30, Locaties!B:B, Locaties!C:C, ""))</f>
        <v>West-Vlaanderen</v>
      </c>
      <c r="J30" s="4" t="str">
        <f>IFERROR(_xlfn.XLOOKUP(G30, Locaties!A:A, Locaties!D:D), _xlfn.XLOOKUP(H30, Locaties!B:B, Locaties!D:D, ""))</f>
        <v>Belgium</v>
      </c>
      <c r="K30" s="4"/>
      <c r="L30" s="4"/>
      <c r="M30" s="4"/>
      <c r="N30" s="4">
        <v>0</v>
      </c>
      <c r="O30" s="7" t="s">
        <v>171</v>
      </c>
      <c r="P30" s="4">
        <v>1</v>
      </c>
      <c r="Q30" s="4" t="s">
        <v>172</v>
      </c>
    </row>
    <row r="31" spans="1:17" ht="30" customHeight="1" x14ac:dyDescent="0.2">
      <c r="A31" s="4" t="s">
        <v>126</v>
      </c>
      <c r="B31" s="5">
        <v>46194</v>
      </c>
      <c r="C31" s="6" t="s">
        <v>27</v>
      </c>
      <c r="D31" s="6" t="s">
        <v>23</v>
      </c>
      <c r="E31" s="4" t="s">
        <v>173</v>
      </c>
      <c r="F31" s="4">
        <v>23</v>
      </c>
      <c r="G31" s="12">
        <v>8820</v>
      </c>
      <c r="H31" s="4" t="s">
        <v>174</v>
      </c>
      <c r="I31" s="4" t="str">
        <f>IFERROR(_xlfn.XLOOKUP(G31, Locaties!A:A, Locaties!C:C), _xlfn.XLOOKUP(H31, Locaties!B:B, Locaties!C:C, ""))</f>
        <v>West-Vlaanderen</v>
      </c>
      <c r="J31" s="4" t="str">
        <f>IFERROR(_xlfn.XLOOKUP(G31, Locaties!A:A, Locaties!D:D), _xlfn.XLOOKUP(H31, Locaties!B:B, Locaties!D:D, ""))</f>
        <v>Belgium</v>
      </c>
      <c r="K31" s="4"/>
      <c r="L31" s="4"/>
      <c r="M31" s="4"/>
      <c r="N31" s="4">
        <v>1</v>
      </c>
      <c r="O31" s="7"/>
      <c r="P31" s="4">
        <v>1</v>
      </c>
      <c r="Q31" s="4" t="s">
        <v>175</v>
      </c>
    </row>
    <row r="32" spans="1:17" ht="30" customHeight="1" x14ac:dyDescent="0.2">
      <c r="A32" s="4" t="s">
        <v>127</v>
      </c>
      <c r="B32" s="5">
        <v>46194</v>
      </c>
      <c r="C32" s="6" t="s">
        <v>20</v>
      </c>
      <c r="D32" s="6" t="s">
        <v>176</v>
      </c>
      <c r="E32" s="4" t="s">
        <v>177</v>
      </c>
      <c r="F32" s="4"/>
      <c r="G32" s="12">
        <v>9000</v>
      </c>
      <c r="H32" s="4" t="s">
        <v>21</v>
      </c>
      <c r="I32" s="4" t="str">
        <f>IFERROR(_xlfn.XLOOKUP(G32, Locaties!A:A, Locaties!C:C), _xlfn.XLOOKUP(H32, Locaties!B:B, Locaties!C:C, ""))</f>
        <v>Oost-Vlaanderen</v>
      </c>
      <c r="J32" s="4" t="str">
        <f>IFERROR(_xlfn.XLOOKUP(G32, Locaties!A:A, Locaties!D:D), _xlfn.XLOOKUP(H32, Locaties!B:B, Locaties!D:D, ""))</f>
        <v>Belgium</v>
      </c>
      <c r="K32" s="4"/>
      <c r="L32" s="4"/>
      <c r="M32" s="4"/>
      <c r="N32" s="4">
        <v>1</v>
      </c>
      <c r="O32" s="7"/>
      <c r="P32" s="4">
        <v>1</v>
      </c>
      <c r="Q32" s="4" t="s">
        <v>178</v>
      </c>
    </row>
    <row r="33" spans="1:17" ht="30" customHeight="1" x14ac:dyDescent="0.2">
      <c r="A33" s="4" t="s">
        <v>128</v>
      </c>
      <c r="B33" s="5">
        <v>46201</v>
      </c>
      <c r="C33" s="6" t="s">
        <v>27</v>
      </c>
      <c r="D33" s="6" t="s">
        <v>23</v>
      </c>
      <c r="E33" s="4" t="s">
        <v>179</v>
      </c>
      <c r="F33" s="4">
        <v>17</v>
      </c>
      <c r="G33" s="12">
        <v>9180</v>
      </c>
      <c r="H33" s="4" t="s">
        <v>180</v>
      </c>
      <c r="I33" s="4" t="str">
        <f>IFERROR(_xlfn.XLOOKUP(G33, Locaties!A:A, Locaties!C:C), _xlfn.XLOOKUP(H33, Locaties!B:B, Locaties!C:C, ""))</f>
        <v>Oost-Vlaanderen</v>
      </c>
      <c r="J33" s="4" t="str">
        <f>IFERROR(_xlfn.XLOOKUP(G33, Locaties!A:A, Locaties!D:D), _xlfn.XLOOKUP(H33, Locaties!B:B, Locaties!D:D, ""))</f>
        <v>Belgium</v>
      </c>
      <c r="K33" s="4"/>
      <c r="L33" s="4"/>
      <c r="M33" s="4">
        <v>15</v>
      </c>
      <c r="N33" s="4">
        <v>1</v>
      </c>
      <c r="O33" s="7"/>
      <c r="P33" s="4">
        <v>1</v>
      </c>
      <c r="Q33" s="4" t="s">
        <v>181</v>
      </c>
    </row>
    <row r="34" spans="1:17" ht="30" customHeight="1" x14ac:dyDescent="0.2">
      <c r="A34" s="8" t="s">
        <v>182</v>
      </c>
      <c r="B34" s="9">
        <v>46201</v>
      </c>
      <c r="C34" s="10" t="s">
        <v>20</v>
      </c>
      <c r="D34" s="10" t="s">
        <v>23</v>
      </c>
      <c r="E34" s="8" t="s">
        <v>183</v>
      </c>
      <c r="F34" s="8" t="s">
        <v>184</v>
      </c>
      <c r="G34" s="13">
        <v>7000</v>
      </c>
      <c r="H34" s="8" t="s">
        <v>185</v>
      </c>
      <c r="I34" s="4" t="str">
        <f>IFERROR(_xlfn.XLOOKUP(G34, Locaties!A:A, Locaties!C:C), _xlfn.XLOOKUP(H34, Locaties!B:B, Locaties!C:C, ""))</f>
        <v>Hainaut</v>
      </c>
      <c r="J34" s="4" t="str">
        <f>IFERROR(_xlfn.XLOOKUP(G34, Locaties!A:A, Locaties!D:D), _xlfn.XLOOKUP(H34, Locaties!B:B, Locaties!D:D, ""))</f>
        <v>Belgium</v>
      </c>
      <c r="K34" s="8"/>
      <c r="L34" s="8"/>
      <c r="M34" s="8"/>
      <c r="N34" s="8"/>
      <c r="O34" s="11"/>
      <c r="P34" s="4">
        <v>1</v>
      </c>
      <c r="Q34" s="8" t="s">
        <v>186</v>
      </c>
    </row>
    <row r="35" spans="1:17" ht="30" customHeight="1" x14ac:dyDescent="0.2">
      <c r="A35" s="4" t="s">
        <v>129</v>
      </c>
      <c r="B35" s="5">
        <v>46207</v>
      </c>
      <c r="C35" s="6" t="s">
        <v>13</v>
      </c>
      <c r="D35" s="6" t="s">
        <v>187</v>
      </c>
      <c r="E35" s="4" t="s">
        <v>188</v>
      </c>
      <c r="F35" s="4">
        <v>1</v>
      </c>
      <c r="G35" s="12">
        <v>74219</v>
      </c>
      <c r="H35" s="4" t="s">
        <v>189</v>
      </c>
      <c r="I35" s="4" t="str">
        <f>IFERROR(_xlfn.XLOOKUP(G35, Locaties!A:A, Locaties!C:C), _xlfn.XLOOKUP(H35, Locaties!B:B, Locaties!C:C, ""))</f>
        <v>Baden-Württemberg</v>
      </c>
      <c r="J35" s="4" t="str">
        <f>IFERROR(_xlfn.XLOOKUP(G35, Locaties!A:A, Locaties!D:D), _xlfn.XLOOKUP(H35, Locaties!B:B, Locaties!D:D, ""))</f>
        <v>Germany</v>
      </c>
      <c r="K35" s="4"/>
      <c r="L35" s="4"/>
      <c r="M35" s="4"/>
      <c r="N35" s="4">
        <v>0</v>
      </c>
      <c r="O35" s="7" t="s">
        <v>191</v>
      </c>
      <c r="P35" s="4">
        <v>1</v>
      </c>
      <c r="Q35" s="4" t="s">
        <v>190</v>
      </c>
    </row>
    <row r="36" spans="1:17" ht="30" customHeight="1" x14ac:dyDescent="0.2">
      <c r="A36" s="4" t="s">
        <v>130</v>
      </c>
      <c r="B36" s="5">
        <v>46208</v>
      </c>
      <c r="C36" s="6" t="s">
        <v>27</v>
      </c>
      <c r="D36" s="6" t="s">
        <v>23</v>
      </c>
      <c r="E36" s="4" t="s">
        <v>192</v>
      </c>
      <c r="F36" s="4"/>
      <c r="G36" s="12">
        <v>2330</v>
      </c>
      <c r="H36" s="4" t="s">
        <v>193</v>
      </c>
      <c r="I36" s="4" t="str">
        <f>IFERROR(_xlfn.XLOOKUP(G36, Locaties!A:A, Locaties!C:C), _xlfn.XLOOKUP(H36, Locaties!B:B, Locaties!C:C, ""))</f>
        <v>Antwerpen</v>
      </c>
      <c r="J36" s="4" t="str">
        <f>IFERROR(_xlfn.XLOOKUP(G36, Locaties!A:A, Locaties!D:D), _xlfn.XLOOKUP(H36, Locaties!B:B, Locaties!D:D, ""))</f>
        <v>Belgium</v>
      </c>
      <c r="K36" s="4"/>
      <c r="L36" s="4"/>
      <c r="M36" s="4"/>
      <c r="N36" s="4">
        <v>1</v>
      </c>
      <c r="O36" s="7"/>
      <c r="P36" s="4">
        <v>1</v>
      </c>
      <c r="Q36" s="4" t="s">
        <v>194</v>
      </c>
    </row>
    <row r="37" spans="1:17" ht="30" customHeight="1" x14ac:dyDescent="0.2">
      <c r="A37" s="4" t="s">
        <v>131</v>
      </c>
      <c r="B37" s="5">
        <v>46222</v>
      </c>
      <c r="C37" s="6" t="s">
        <v>27</v>
      </c>
      <c r="D37" s="6" t="s">
        <v>23</v>
      </c>
      <c r="E37" s="4" t="s">
        <v>195</v>
      </c>
      <c r="F37" s="4">
        <v>1</v>
      </c>
      <c r="G37" s="12">
        <v>8470</v>
      </c>
      <c r="H37" s="4" t="s">
        <v>196</v>
      </c>
      <c r="I37" s="4" t="str">
        <f>IFERROR(_xlfn.XLOOKUP(G37, Locaties!A:A, Locaties!C:C), _xlfn.XLOOKUP(H37, Locaties!B:B, Locaties!C:C, ""))</f>
        <v>West-Vlaanderen</v>
      </c>
      <c r="J37" s="4" t="str">
        <f>IFERROR(_xlfn.XLOOKUP(G37, Locaties!A:A, Locaties!D:D), _xlfn.XLOOKUP(H37, Locaties!B:B, Locaties!D:D, ""))</f>
        <v>Belgium</v>
      </c>
      <c r="K37" s="4"/>
      <c r="L37" s="4"/>
      <c r="M37" s="4"/>
      <c r="N37" s="4">
        <v>1</v>
      </c>
      <c r="O37" s="7"/>
      <c r="P37" s="4">
        <v>1</v>
      </c>
      <c r="Q37" s="4" t="s">
        <v>197</v>
      </c>
    </row>
    <row r="38" spans="1:17" ht="30" customHeight="1" x14ac:dyDescent="0.2">
      <c r="A38" s="4" t="s">
        <v>198</v>
      </c>
      <c r="B38" s="5">
        <v>46221</v>
      </c>
      <c r="C38" s="6" t="s">
        <v>14</v>
      </c>
      <c r="D38" s="6"/>
      <c r="E38" s="4" t="s">
        <v>199</v>
      </c>
      <c r="F38" s="4">
        <v>10</v>
      </c>
      <c r="G38" s="12">
        <v>8980</v>
      </c>
      <c r="H38" s="4" t="s">
        <v>200</v>
      </c>
      <c r="I38" s="4" t="str">
        <f>IFERROR(_xlfn.XLOOKUP(G38, Locaties!A:A, Locaties!C:C), _xlfn.XLOOKUP(H38, Locaties!B:B, Locaties!C:C, ""))</f>
        <v>West-Vlaanderen</v>
      </c>
      <c r="J38" s="4" t="str">
        <f>IFERROR(_xlfn.XLOOKUP(G38, Locaties!A:A, Locaties!D:D), _xlfn.XLOOKUP(H38, Locaties!B:B, Locaties!D:D, ""))</f>
        <v>Belgium</v>
      </c>
      <c r="K38" s="4"/>
      <c r="L38" s="4"/>
      <c r="M38" s="4"/>
      <c r="N38" s="4">
        <v>1</v>
      </c>
      <c r="O38" s="7"/>
      <c r="P38" s="4">
        <v>1</v>
      </c>
      <c r="Q38" s="4" t="s">
        <v>201</v>
      </c>
    </row>
    <row r="39" spans="1:17" ht="30" customHeight="1" x14ac:dyDescent="0.2">
      <c r="A39" s="4" t="s">
        <v>132</v>
      </c>
      <c r="B39" s="5">
        <v>46222</v>
      </c>
      <c r="C39" s="6" t="s">
        <v>29</v>
      </c>
      <c r="D39" s="6" t="s">
        <v>23</v>
      </c>
      <c r="E39" s="4" t="s">
        <v>202</v>
      </c>
      <c r="F39" s="4"/>
      <c r="G39" s="12"/>
      <c r="H39" s="4" t="s">
        <v>203</v>
      </c>
      <c r="I39" s="4">
        <f>IFERROR(_xlfn.XLOOKUP(G39, Locaties!A:A, Locaties!C:C), _xlfn.XLOOKUP(H39, Locaties!B:B, Locaties!C:C, ""))</f>
        <v>0</v>
      </c>
      <c r="J39" s="4">
        <f>IFERROR(_xlfn.XLOOKUP(G39, Locaties!A:A, Locaties!D:D), _xlfn.XLOOKUP(H39, Locaties!B:B, Locaties!D:D, ""))</f>
        <v>0</v>
      </c>
      <c r="K39" s="4"/>
      <c r="L39" s="4"/>
      <c r="M39" s="4"/>
      <c r="N39" s="4">
        <v>1</v>
      </c>
      <c r="O39" s="7"/>
      <c r="P39" s="4">
        <v>1</v>
      </c>
      <c r="Q39" s="7" t="s">
        <v>204</v>
      </c>
    </row>
    <row r="40" spans="1:17" ht="30" customHeight="1" x14ac:dyDescent="0.2">
      <c r="A40" s="4" t="s">
        <v>133</v>
      </c>
      <c r="B40" s="5">
        <v>46229</v>
      </c>
      <c r="C40" s="6" t="s">
        <v>27</v>
      </c>
      <c r="D40" s="6" t="s">
        <v>14</v>
      </c>
      <c r="E40" s="4"/>
      <c r="F40" s="4"/>
      <c r="G40" s="12"/>
      <c r="H40" s="4"/>
      <c r="I40" s="4">
        <f>IFERROR(_xlfn.XLOOKUP(G40, Locaties!A:A, Locaties!C:C), _xlfn.XLOOKUP(H40, Locaties!B:B, Locaties!C:C, ""))</f>
        <v>0</v>
      </c>
      <c r="J40" s="4">
        <f>IFERROR(_xlfn.XLOOKUP(G40, Locaties!A:A, Locaties!D:D), _xlfn.XLOOKUP(H40, Locaties!B:B, Locaties!D:D, ""))</f>
        <v>0</v>
      </c>
      <c r="K40" s="4"/>
      <c r="L40" s="4"/>
      <c r="M40" s="4"/>
      <c r="N40" s="4">
        <v>1</v>
      </c>
      <c r="O40" s="7"/>
      <c r="P40" s="4">
        <v>1</v>
      </c>
      <c r="Q40" s="4" t="s">
        <v>205</v>
      </c>
    </row>
    <row r="41" spans="1:17" ht="30" customHeight="1" x14ac:dyDescent="0.2">
      <c r="A41" s="4" t="s">
        <v>134</v>
      </c>
      <c r="B41" s="5">
        <v>46235</v>
      </c>
      <c r="C41" s="6" t="s">
        <v>14</v>
      </c>
      <c r="D41" s="6" t="s">
        <v>70</v>
      </c>
      <c r="E41" s="4" t="s">
        <v>206</v>
      </c>
      <c r="F41" s="4">
        <v>9</v>
      </c>
      <c r="G41" s="12"/>
      <c r="H41" s="4" t="s">
        <v>207</v>
      </c>
      <c r="I41" s="4">
        <f>IFERROR(_xlfn.XLOOKUP(G41, Locaties!A:A, Locaties!C:C), _xlfn.XLOOKUP(H41, Locaties!B:B, Locaties!C:C, ""))</f>
        <v>0</v>
      </c>
      <c r="J41" s="4">
        <f>IFERROR(_xlfn.XLOOKUP(G41, Locaties!A:A, Locaties!D:D), _xlfn.XLOOKUP(H41, Locaties!B:B, Locaties!D:D, ""))</f>
        <v>0</v>
      </c>
      <c r="K41" s="4"/>
      <c r="L41" s="4"/>
      <c r="M41" s="4"/>
      <c r="N41" s="4">
        <v>1</v>
      </c>
      <c r="O41" s="7"/>
      <c r="P41" s="4">
        <v>1</v>
      </c>
      <c r="Q41" s="4" t="s">
        <v>208</v>
      </c>
    </row>
    <row r="42" spans="1:17" ht="30" customHeight="1" x14ac:dyDescent="0.2">
      <c r="A42" s="4" t="s">
        <v>135</v>
      </c>
      <c r="B42" s="5">
        <v>46236</v>
      </c>
      <c r="C42" s="6" t="s">
        <v>27</v>
      </c>
      <c r="D42" s="6" t="s">
        <v>30</v>
      </c>
      <c r="E42" s="4" t="s">
        <v>209</v>
      </c>
      <c r="F42" s="4">
        <v>1</v>
      </c>
      <c r="G42" s="12"/>
      <c r="H42" s="4" t="s">
        <v>26</v>
      </c>
      <c r="I42" s="4">
        <f>IFERROR(_xlfn.XLOOKUP(G42, Locaties!A:A, Locaties!C:C), _xlfn.XLOOKUP(H42, Locaties!B:B, Locaties!C:C, ""))</f>
        <v>0</v>
      </c>
      <c r="J42" s="4">
        <f>IFERROR(_xlfn.XLOOKUP(G42, Locaties!A:A, Locaties!D:D), _xlfn.XLOOKUP(H42, Locaties!B:B, Locaties!D:D, ""))</f>
        <v>0</v>
      </c>
      <c r="K42" s="4"/>
      <c r="L42" s="4"/>
      <c r="M42" s="4"/>
      <c r="N42" s="4">
        <v>1</v>
      </c>
      <c r="O42" s="7"/>
      <c r="P42" s="4">
        <v>1</v>
      </c>
      <c r="Q42" s="4" t="s">
        <v>210</v>
      </c>
    </row>
    <row r="43" spans="1:17" ht="30" customHeight="1" x14ac:dyDescent="0.2">
      <c r="A43" s="4" t="s">
        <v>136</v>
      </c>
      <c r="B43" s="5">
        <v>46243</v>
      </c>
      <c r="C43" s="6" t="s">
        <v>27</v>
      </c>
      <c r="D43" s="6" t="s">
        <v>25</v>
      </c>
      <c r="E43" s="4" t="s">
        <v>92</v>
      </c>
      <c r="F43" s="4">
        <v>45</v>
      </c>
      <c r="G43" s="12">
        <v>8490</v>
      </c>
      <c r="H43" s="4" t="s">
        <v>93</v>
      </c>
      <c r="I43" s="4" t="str">
        <f>IFERROR(_xlfn.XLOOKUP(G43, Locaties!A:A, Locaties!C:C), _xlfn.XLOOKUP(H43, Locaties!B:B, Locaties!C:C, ""))</f>
        <v>West-Vlaanderen</v>
      </c>
      <c r="J43" s="4" t="str">
        <f>IFERROR(_xlfn.XLOOKUP(G43, Locaties!A:A, Locaties!D:D), _xlfn.XLOOKUP(H43, Locaties!B:B, Locaties!D:D, ""))</f>
        <v>Belgium</v>
      </c>
      <c r="K43" s="4"/>
      <c r="L43" s="4"/>
      <c r="M43" s="4"/>
      <c r="N43" s="4">
        <v>1</v>
      </c>
      <c r="O43" s="7"/>
      <c r="P43" s="4">
        <v>1</v>
      </c>
      <c r="Q43" s="4" t="s">
        <v>211</v>
      </c>
    </row>
    <row r="44" spans="1:17" ht="30" customHeight="1" x14ac:dyDescent="0.2">
      <c r="A44" s="4" t="s">
        <v>212</v>
      </c>
      <c r="B44" s="5">
        <v>46243</v>
      </c>
      <c r="C44" s="6" t="s">
        <v>27</v>
      </c>
      <c r="D44" s="6" t="s">
        <v>14</v>
      </c>
      <c r="E44" s="4" t="s">
        <v>213</v>
      </c>
      <c r="F44" s="4"/>
      <c r="G44" s="12">
        <v>8211</v>
      </c>
      <c r="H44" s="4" t="s">
        <v>214</v>
      </c>
      <c r="I44" s="4" t="str">
        <f>IFERROR(_xlfn.XLOOKUP(G44, Locaties!A:A, Locaties!C:C), _xlfn.XLOOKUP(H44, Locaties!B:B, Locaties!C:C, ""))</f>
        <v>West-Vlaanderen</v>
      </c>
      <c r="J44" s="4" t="str">
        <f>IFERROR(_xlfn.XLOOKUP(G44, Locaties!A:A, Locaties!D:D), _xlfn.XLOOKUP(H44, Locaties!B:B, Locaties!D:D, ""))</f>
        <v>Belgium</v>
      </c>
      <c r="K44" s="4"/>
      <c r="L44" s="4"/>
      <c r="M44" s="4"/>
      <c r="N44" s="4">
        <v>0</v>
      </c>
      <c r="O44" s="7" t="s">
        <v>215</v>
      </c>
      <c r="P44" s="4">
        <v>1</v>
      </c>
      <c r="Q44" s="7" t="s">
        <v>216</v>
      </c>
    </row>
    <row r="45" spans="1:17" ht="30" customHeight="1" x14ac:dyDescent="0.2">
      <c r="A45" s="4" t="s">
        <v>137</v>
      </c>
      <c r="B45" s="5">
        <v>46143</v>
      </c>
      <c r="C45" s="6" t="s">
        <v>14</v>
      </c>
      <c r="D45" s="6" t="s">
        <v>70</v>
      </c>
      <c r="E45" s="4" t="s">
        <v>68</v>
      </c>
      <c r="F45" s="4"/>
      <c r="G45" s="12">
        <v>3960</v>
      </c>
      <c r="H45" s="4" t="s">
        <v>217</v>
      </c>
      <c r="I45" s="4" t="str">
        <f>IFERROR(_xlfn.XLOOKUP(G45, Locaties!A:A, Locaties!C:C), _xlfn.XLOOKUP(H45, Locaties!B:B, Locaties!C:C, ""))</f>
        <v>Limburg</v>
      </c>
      <c r="J45" s="4" t="str">
        <f>IFERROR(_xlfn.XLOOKUP(G45, Locaties!A:A, Locaties!D:D), _xlfn.XLOOKUP(H45, Locaties!B:B, Locaties!D:D, ""))</f>
        <v>Belgium</v>
      </c>
      <c r="K45" s="4"/>
      <c r="L45" s="4"/>
      <c r="M45" s="4">
        <v>15</v>
      </c>
      <c r="N45" s="4">
        <v>1</v>
      </c>
      <c r="O45" s="7"/>
      <c r="P45" s="4">
        <v>1</v>
      </c>
      <c r="Q45" s="4" t="s">
        <v>113</v>
      </c>
    </row>
    <row r="46" spans="1:17" ht="30" customHeight="1" x14ac:dyDescent="0.2">
      <c r="A46" s="4" t="s">
        <v>218</v>
      </c>
      <c r="B46" s="5">
        <v>46250</v>
      </c>
      <c r="C46" s="6" t="s">
        <v>27</v>
      </c>
      <c r="D46" s="6" t="s">
        <v>23</v>
      </c>
      <c r="E46" s="4" t="s">
        <v>206</v>
      </c>
      <c r="F46" s="4">
        <v>9</v>
      </c>
      <c r="G46" s="12"/>
      <c r="H46" s="4" t="s">
        <v>207</v>
      </c>
      <c r="I46" s="4">
        <f>IFERROR(_xlfn.XLOOKUP(G46, Locaties!A:A, Locaties!C:C), _xlfn.XLOOKUP(H46, Locaties!B:B, Locaties!C:C, ""))</f>
        <v>0</v>
      </c>
      <c r="J46" s="4">
        <f>IFERROR(_xlfn.XLOOKUP(G46, Locaties!A:A, Locaties!D:D), _xlfn.XLOOKUP(H46, Locaties!B:B, Locaties!D:D, ""))</f>
        <v>0</v>
      </c>
      <c r="K46" s="4"/>
      <c r="L46" s="4"/>
      <c r="M46" s="4"/>
      <c r="N46" s="4">
        <v>1</v>
      </c>
      <c r="O46" s="7"/>
      <c r="P46" s="4">
        <v>1</v>
      </c>
      <c r="Q46" s="7" t="s">
        <v>219</v>
      </c>
    </row>
    <row r="47" spans="1:17" ht="30" customHeight="1" x14ac:dyDescent="0.2">
      <c r="A47" s="4" t="s">
        <v>138</v>
      </c>
      <c r="B47" s="5">
        <v>46257</v>
      </c>
      <c r="C47" s="6" t="s">
        <v>27</v>
      </c>
      <c r="D47" s="6" t="s">
        <v>25</v>
      </c>
      <c r="E47" s="4" t="s">
        <v>220</v>
      </c>
      <c r="F47" s="4">
        <v>32</v>
      </c>
      <c r="G47" s="12">
        <v>8770</v>
      </c>
      <c r="H47" s="4" t="s">
        <v>221</v>
      </c>
      <c r="I47" s="4" t="str">
        <f>IFERROR(_xlfn.XLOOKUP(G47, Locaties!A:A, Locaties!C:C), _xlfn.XLOOKUP(H47, Locaties!B:B, Locaties!C:C, ""))</f>
        <v>West-Vlaanderen</v>
      </c>
      <c r="J47" s="4" t="str">
        <f>IFERROR(_xlfn.XLOOKUP(G47, Locaties!A:A, Locaties!D:D), _xlfn.XLOOKUP(H47, Locaties!B:B, Locaties!D:D, ""))</f>
        <v>Belgium</v>
      </c>
      <c r="K47" s="4"/>
      <c r="L47" s="4"/>
      <c r="M47" s="4"/>
      <c r="N47" s="4">
        <v>1</v>
      </c>
      <c r="O47" s="7"/>
      <c r="P47" s="4">
        <v>1</v>
      </c>
      <c r="Q47" s="4" t="s">
        <v>222</v>
      </c>
    </row>
    <row r="48" spans="1:17" ht="30" customHeight="1" x14ac:dyDescent="0.2">
      <c r="A48" s="4" t="s">
        <v>139</v>
      </c>
      <c r="B48" s="5">
        <v>46257</v>
      </c>
      <c r="C48" s="6" t="s">
        <v>20</v>
      </c>
      <c r="D48" s="6"/>
      <c r="E48" s="4" t="s">
        <v>223</v>
      </c>
      <c r="F48" s="4"/>
      <c r="G48" s="12"/>
      <c r="H48" s="4" t="s">
        <v>224</v>
      </c>
      <c r="I48" s="4">
        <f>IFERROR(_xlfn.XLOOKUP(G48, Locaties!A:A, Locaties!C:C), _xlfn.XLOOKUP(H48, Locaties!B:B, Locaties!C:C, ""))</f>
        <v>0</v>
      </c>
      <c r="J48" s="4">
        <f>IFERROR(_xlfn.XLOOKUP(G48, Locaties!A:A, Locaties!D:D), _xlfn.XLOOKUP(H48, Locaties!B:B, Locaties!D:D, ""))</f>
        <v>0</v>
      </c>
      <c r="K48" s="4"/>
      <c r="L48" s="4"/>
      <c r="M48" s="4"/>
      <c r="N48" s="4">
        <v>1</v>
      </c>
      <c r="O48" s="7"/>
      <c r="P48" s="4">
        <v>1</v>
      </c>
      <c r="Q48" s="4" t="s">
        <v>225</v>
      </c>
    </row>
    <row r="49" spans="1:17" ht="30" customHeight="1" x14ac:dyDescent="0.2">
      <c r="A49" s="4" t="s">
        <v>140</v>
      </c>
      <c r="B49" s="5">
        <v>46264</v>
      </c>
      <c r="C49" s="6" t="s">
        <v>27</v>
      </c>
      <c r="D49" s="6" t="s">
        <v>23</v>
      </c>
      <c r="E49" s="4" t="s">
        <v>179</v>
      </c>
      <c r="F49" s="4">
        <v>17</v>
      </c>
      <c r="G49" s="12">
        <v>9160</v>
      </c>
      <c r="H49" s="4" t="s">
        <v>180</v>
      </c>
      <c r="I49" s="4" t="str">
        <f>IFERROR(_xlfn.XLOOKUP(G49, Locaties!A:A, Locaties!C:C), _xlfn.XLOOKUP(H49, Locaties!B:B, Locaties!C:C, ""))</f>
        <v>Oost-Vlaanderen</v>
      </c>
      <c r="J49" s="4" t="str">
        <f>IFERROR(_xlfn.XLOOKUP(G49, Locaties!A:A, Locaties!D:D), _xlfn.XLOOKUP(H49, Locaties!B:B, Locaties!D:D, ""))</f>
        <v>Belgium</v>
      </c>
      <c r="K49" s="4"/>
      <c r="L49" s="4"/>
      <c r="M49" s="4">
        <v>15</v>
      </c>
      <c r="N49" s="4">
        <v>1</v>
      </c>
      <c r="O49" s="7"/>
      <c r="P49" s="4">
        <v>1</v>
      </c>
      <c r="Q49" s="4" t="s">
        <v>226</v>
      </c>
    </row>
    <row r="50" spans="1:17" ht="30" customHeight="1" x14ac:dyDescent="0.2">
      <c r="A50" s="4" t="s">
        <v>141</v>
      </c>
      <c r="B50" s="5">
        <v>46271</v>
      </c>
      <c r="C50" s="6" t="s">
        <v>20</v>
      </c>
      <c r="D50" s="6"/>
      <c r="E50" s="4" t="s">
        <v>227</v>
      </c>
      <c r="F50" s="4">
        <v>22</v>
      </c>
      <c r="G50" s="12">
        <v>3660</v>
      </c>
      <c r="H50" s="4" t="s">
        <v>228</v>
      </c>
      <c r="I50" s="4" t="str">
        <f>IFERROR(_xlfn.XLOOKUP(G50, Locaties!A:A, Locaties!C:C), _xlfn.XLOOKUP(H50, Locaties!B:B, Locaties!C:C, ""))</f>
        <v>Limburg</v>
      </c>
      <c r="J50" s="4" t="str">
        <f>IFERROR(_xlfn.XLOOKUP(G50, Locaties!A:A, Locaties!D:D), _xlfn.XLOOKUP(H50, Locaties!B:B, Locaties!D:D, ""))</f>
        <v>Belgium</v>
      </c>
      <c r="K50" s="4"/>
      <c r="L50" s="4"/>
      <c r="M50" s="4"/>
      <c r="N50" s="4">
        <v>0</v>
      </c>
      <c r="O50" s="7"/>
      <c r="P50" s="4">
        <v>1</v>
      </c>
      <c r="Q50" s="7" t="s">
        <v>229</v>
      </c>
    </row>
    <row r="51" spans="1:17" ht="30" customHeight="1" x14ac:dyDescent="0.2">
      <c r="A51" s="4" t="s">
        <v>142</v>
      </c>
      <c r="B51" s="5">
        <v>46271</v>
      </c>
      <c r="C51" s="6" t="s">
        <v>20</v>
      </c>
      <c r="D51" s="6" t="s">
        <v>14</v>
      </c>
      <c r="E51" s="4" t="s">
        <v>231</v>
      </c>
      <c r="F51" s="4"/>
      <c r="G51" s="12">
        <v>9280</v>
      </c>
      <c r="H51" s="4" t="s">
        <v>230</v>
      </c>
      <c r="I51" s="4" t="str">
        <f>IFERROR(_xlfn.XLOOKUP(G51, Locaties!A:A, Locaties!C:C), _xlfn.XLOOKUP(H51, Locaties!B:B, Locaties!C:C, ""))</f>
        <v>Oost-Vlaanderen</v>
      </c>
      <c r="J51" s="4" t="str">
        <f>IFERROR(_xlfn.XLOOKUP(G51, Locaties!A:A, Locaties!D:D), _xlfn.XLOOKUP(H51, Locaties!B:B, Locaties!D:D, ""))</f>
        <v>Belgium</v>
      </c>
      <c r="K51" s="4"/>
      <c r="L51" s="4"/>
      <c r="M51" s="4"/>
      <c r="N51" s="4">
        <v>1</v>
      </c>
      <c r="O51" s="7"/>
      <c r="P51" s="4">
        <v>1</v>
      </c>
      <c r="Q51" s="4" t="s">
        <v>232</v>
      </c>
    </row>
    <row r="52" spans="1:17" ht="30" customHeight="1" x14ac:dyDescent="0.2">
      <c r="A52" s="4" t="s">
        <v>143</v>
      </c>
      <c r="B52" s="5">
        <v>46271</v>
      </c>
      <c r="C52" s="6" t="s">
        <v>29</v>
      </c>
      <c r="D52" s="6"/>
      <c r="E52" s="4" t="s">
        <v>233</v>
      </c>
      <c r="F52" s="4"/>
      <c r="G52" s="12">
        <v>3253</v>
      </c>
      <c r="H52" s="4" t="s">
        <v>234</v>
      </c>
      <c r="I52" s="4" t="str">
        <f>IFERROR(_xlfn.XLOOKUP(G52, Locaties!A:A, Locaties!C:C), _xlfn.XLOOKUP(H52, Locaties!B:B, Locaties!C:C, ""))</f>
        <v>Zuid-Holland</v>
      </c>
      <c r="J52" s="4" t="str">
        <f>IFERROR(_xlfn.XLOOKUP(G52, Locaties!A:A, Locaties!D:D), _xlfn.XLOOKUP(H52, Locaties!B:B, Locaties!D:D, ""))</f>
        <v>Netherlands</v>
      </c>
      <c r="K52" s="4"/>
      <c r="L52" s="4"/>
      <c r="M52" s="4"/>
      <c r="N52" s="4">
        <v>1</v>
      </c>
      <c r="O52" s="7"/>
      <c r="P52" s="4">
        <v>1</v>
      </c>
      <c r="Q52" s="4" t="s">
        <v>235</v>
      </c>
    </row>
    <row r="53" spans="1:17" ht="30" customHeight="1" x14ac:dyDescent="0.2">
      <c r="A53" s="4" t="s">
        <v>144</v>
      </c>
      <c r="B53" s="5">
        <v>46247</v>
      </c>
      <c r="C53" s="6" t="s">
        <v>27</v>
      </c>
      <c r="D53" s="6" t="s">
        <v>236</v>
      </c>
      <c r="E53" s="4" t="s">
        <v>237</v>
      </c>
      <c r="F53" s="4">
        <v>96</v>
      </c>
      <c r="G53" s="12">
        <v>3550</v>
      </c>
      <c r="H53" s="4" t="s">
        <v>238</v>
      </c>
      <c r="I53" s="4" t="str">
        <f>IFERROR(_xlfn.XLOOKUP(G53, Locaties!A:A, Locaties!C:C), _xlfn.XLOOKUP(H53, Locaties!B:B, Locaties!C:C, ""))</f>
        <v>Limburg</v>
      </c>
      <c r="J53" s="4" t="str">
        <f>IFERROR(_xlfn.XLOOKUP(G53, Locaties!A:A, Locaties!D:D), _xlfn.XLOOKUP(H53, Locaties!B:B, Locaties!D:D, ""))</f>
        <v>Belgium</v>
      </c>
      <c r="K53" s="4"/>
      <c r="L53" s="4"/>
      <c r="M53" s="4"/>
      <c r="N53" s="4">
        <v>1</v>
      </c>
      <c r="O53" s="7"/>
      <c r="P53" s="4">
        <v>1</v>
      </c>
      <c r="Q53" s="7" t="s">
        <v>239</v>
      </c>
    </row>
    <row r="54" spans="1:17" ht="30" customHeight="1" x14ac:dyDescent="0.2">
      <c r="A54" s="4" t="s">
        <v>145</v>
      </c>
      <c r="B54" s="5">
        <v>46247</v>
      </c>
      <c r="C54" s="6" t="s">
        <v>17</v>
      </c>
      <c r="D54" s="6"/>
      <c r="E54" s="4" t="s">
        <v>240</v>
      </c>
      <c r="F54" s="4">
        <v>26</v>
      </c>
      <c r="G54" s="12"/>
      <c r="H54" s="4" t="s">
        <v>170</v>
      </c>
      <c r="I54" s="4">
        <f>IFERROR(_xlfn.XLOOKUP(G54, Locaties!A:A, Locaties!C:C), _xlfn.XLOOKUP(H54, Locaties!B:B, Locaties!C:C, ""))</f>
        <v>0</v>
      </c>
      <c r="J54" s="4">
        <f>IFERROR(_xlfn.XLOOKUP(G54, Locaties!A:A, Locaties!D:D), _xlfn.XLOOKUP(H54, Locaties!B:B, Locaties!D:D, ""))</f>
        <v>0</v>
      </c>
      <c r="K54" s="4"/>
      <c r="L54" s="4"/>
      <c r="M54" s="4"/>
      <c r="N54" s="4">
        <v>1</v>
      </c>
      <c r="O54" s="7"/>
      <c r="P54" s="4">
        <v>1</v>
      </c>
      <c r="Q54" s="4" t="s">
        <v>241</v>
      </c>
    </row>
    <row r="55" spans="1:17" ht="30" customHeight="1" x14ac:dyDescent="0.2">
      <c r="A55" s="4" t="s">
        <v>146</v>
      </c>
      <c r="B55" s="5">
        <v>46247</v>
      </c>
      <c r="C55" s="6" t="s">
        <v>20</v>
      </c>
      <c r="D55" s="6" t="s">
        <v>23</v>
      </c>
      <c r="E55" s="4" t="s">
        <v>57</v>
      </c>
      <c r="F55" s="4">
        <v>3</v>
      </c>
      <c r="G55" s="12">
        <v>2018</v>
      </c>
      <c r="H55" s="4" t="s">
        <v>26</v>
      </c>
      <c r="I55" s="4" t="str">
        <f>IFERROR(_xlfn.XLOOKUP(G55, Locaties!A:A, Locaties!C:C), _xlfn.XLOOKUP(H55, Locaties!B:B, Locaties!C:C, ""))</f>
        <v>Vlaams-Brabant</v>
      </c>
      <c r="J55" s="4" t="str">
        <f>IFERROR(_xlfn.XLOOKUP(G55, Locaties!A:A, Locaties!D:D), _xlfn.XLOOKUP(H55, Locaties!B:B, Locaties!D:D, ""))</f>
        <v>Belgium</v>
      </c>
      <c r="K55" s="4"/>
      <c r="L55" s="4"/>
      <c r="M55" s="4"/>
      <c r="N55" s="4">
        <v>0</v>
      </c>
      <c r="O55" s="7"/>
      <c r="P55" s="4">
        <v>1</v>
      </c>
      <c r="Q55" s="4" t="s">
        <v>242</v>
      </c>
    </row>
    <row r="56" spans="1:17" ht="30" customHeight="1" x14ac:dyDescent="0.2">
      <c r="A56" s="4" t="s">
        <v>147</v>
      </c>
      <c r="B56" s="5">
        <v>46261</v>
      </c>
      <c r="C56" s="6" t="s">
        <v>27</v>
      </c>
      <c r="D56" s="6" t="s">
        <v>23</v>
      </c>
      <c r="E56" s="4" t="s">
        <v>243</v>
      </c>
      <c r="F56" s="4"/>
      <c r="G56" s="12">
        <v>8820</v>
      </c>
      <c r="H56" s="4" t="s">
        <v>174</v>
      </c>
      <c r="I56" s="4" t="str">
        <f>IFERROR(_xlfn.XLOOKUP(G56, Locaties!A:A, Locaties!C:C), _xlfn.XLOOKUP(H56, Locaties!B:B, Locaties!C:C, ""))</f>
        <v>West-Vlaanderen</v>
      </c>
      <c r="J56" s="4" t="str">
        <f>IFERROR(_xlfn.XLOOKUP(G56, Locaties!A:A, Locaties!D:D), _xlfn.XLOOKUP(H56, Locaties!B:B, Locaties!D:D, ""))</f>
        <v>Belgium</v>
      </c>
      <c r="K56" s="4"/>
      <c r="L56" s="4"/>
      <c r="M56" s="4"/>
      <c r="N56" s="4">
        <v>1</v>
      </c>
      <c r="O56" s="7"/>
      <c r="P56" s="4">
        <v>1</v>
      </c>
      <c r="Q56" s="7" t="s">
        <v>244</v>
      </c>
    </row>
    <row r="57" spans="1:17" ht="30" customHeight="1" x14ac:dyDescent="0.2">
      <c r="A57" s="4" t="s">
        <v>148</v>
      </c>
      <c r="B57" s="5">
        <v>46305</v>
      </c>
      <c r="C57" s="6" t="s">
        <v>14</v>
      </c>
      <c r="D57" s="6" t="s">
        <v>70</v>
      </c>
      <c r="E57" s="4" t="s">
        <v>245</v>
      </c>
      <c r="F57" s="4">
        <v>1</v>
      </c>
      <c r="G57" s="12">
        <v>8210</v>
      </c>
      <c r="H57" s="4" t="s">
        <v>67</v>
      </c>
      <c r="I57" s="4" t="str">
        <f>IFERROR(_xlfn.XLOOKUP(G57, Locaties!A:A, Locaties!C:C), _xlfn.XLOOKUP(H57, Locaties!B:B, Locaties!C:C, ""))</f>
        <v>West-Vlaanderen</v>
      </c>
      <c r="J57" s="4" t="str">
        <f>IFERROR(_xlfn.XLOOKUP(G57, Locaties!A:A, Locaties!D:D), _xlfn.XLOOKUP(H57, Locaties!B:B, Locaties!D:D, ""))</f>
        <v>Belgium</v>
      </c>
      <c r="K57" s="4"/>
      <c r="L57" s="4"/>
      <c r="M57" s="4"/>
      <c r="N57" s="4">
        <v>1</v>
      </c>
      <c r="O57" s="7"/>
      <c r="P57" s="4">
        <v>1</v>
      </c>
      <c r="Q57" s="7" t="s">
        <v>246</v>
      </c>
    </row>
    <row r="58" spans="1:17" ht="30" customHeight="1" x14ac:dyDescent="0.2">
      <c r="A58" s="4" t="s">
        <v>149</v>
      </c>
      <c r="B58" s="5">
        <v>46333</v>
      </c>
      <c r="C58" s="6" t="s">
        <v>14</v>
      </c>
      <c r="D58" s="6" t="s">
        <v>70</v>
      </c>
      <c r="E58" s="4" t="s">
        <v>179</v>
      </c>
      <c r="F58" s="4">
        <v>17</v>
      </c>
      <c r="G58" s="12">
        <v>9180</v>
      </c>
      <c r="H58" s="4" t="s">
        <v>180</v>
      </c>
      <c r="I58" s="4" t="str">
        <f>IFERROR(_xlfn.XLOOKUP(G58, Locaties!A:A, Locaties!C:C), _xlfn.XLOOKUP(H58, Locaties!B:B, Locaties!C:C, ""))</f>
        <v>Oost-Vlaanderen</v>
      </c>
      <c r="J58" s="4" t="str">
        <f>IFERROR(_xlfn.XLOOKUP(G58, Locaties!A:A, Locaties!D:D), _xlfn.XLOOKUP(H58, Locaties!B:B, Locaties!D:D, ""))</f>
        <v>Belgium</v>
      </c>
      <c r="K58" s="4"/>
      <c r="L58" s="4"/>
      <c r="M58" s="4">
        <v>15</v>
      </c>
      <c r="N58" s="4">
        <v>1</v>
      </c>
      <c r="O58" s="7"/>
      <c r="P58" s="4">
        <v>1</v>
      </c>
      <c r="Q58" s="7" t="s">
        <v>247</v>
      </c>
    </row>
    <row r="59" spans="1:17" x14ac:dyDescent="0.2">
      <c r="C59" s="1"/>
      <c r="D59" s="1"/>
    </row>
    <row r="60" spans="1:17" x14ac:dyDescent="0.2">
      <c r="C60" s="1"/>
      <c r="D60" s="1"/>
    </row>
    <row r="61" spans="1:17" x14ac:dyDescent="0.2">
      <c r="C61" s="1"/>
    </row>
  </sheetData>
  <phoneticPr fontId="3" type="noConversion"/>
  <hyperlinks>
    <hyperlink ref="O22" r:id="rId1" xr:uid="{5BD1AFC6-8E80-4DCE-8EA0-4F02581F3101}"/>
    <hyperlink ref="O20" r:id="rId2" xr:uid="{28247C71-6B25-4451-8508-61801C884151}"/>
    <hyperlink ref="O35" r:id="rId3" xr:uid="{EE7A720F-0519-4C6B-97BE-4167E10102F6}"/>
    <hyperlink ref="Q39" r:id="rId4" xr:uid="{307431F0-B1B2-4293-A61C-43F549ECF27B}"/>
    <hyperlink ref="O44" r:id="rId5" xr:uid="{9E42EDFF-1B6F-4F24-AAD1-947A49A6CBFC}"/>
    <hyperlink ref="Q44" r:id="rId6" xr:uid="{2A74DEA3-42E2-4570-92F6-0C3D3A3ED99A}"/>
    <hyperlink ref="Q46" r:id="rId7" xr:uid="{31E7667D-716B-43E1-9B93-34469E18E1C3}"/>
    <hyperlink ref="Q50" r:id="rId8" xr:uid="{2661FBF9-573F-40B9-A584-1F17FC3CA402}"/>
    <hyperlink ref="Q53" r:id="rId9" xr:uid="{4CAB30F7-7C37-450E-A7DB-58180C25C2C4}"/>
    <hyperlink ref="Q56" r:id="rId10" xr:uid="{150FEC56-1317-4707-B367-AC6DD5F08E94}"/>
    <hyperlink ref="Q57" r:id="rId11" xr:uid="{C139EEB4-8023-4083-BAC7-614A966CCE19}"/>
    <hyperlink ref="Q58" r:id="rId12" xr:uid="{ED120D6B-E468-44D0-942D-06424E86B85A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23FBF-B488-483D-87C6-BB5242969A79}">
  <dimension ref="A1:D43"/>
  <sheetViews>
    <sheetView workbookViewId="0">
      <selection activeCell="G16" sqref="G16"/>
    </sheetView>
  </sheetViews>
  <sheetFormatPr defaultRowHeight="12.75" x14ac:dyDescent="0.2"/>
  <cols>
    <col min="2" max="2" width="12.28515625" customWidth="1"/>
    <col min="3" max="3" width="16.5703125" customWidth="1"/>
    <col min="4" max="4" width="9.140625" customWidth="1"/>
  </cols>
  <sheetData>
    <row r="1" spans="1:4" x14ac:dyDescent="0.2">
      <c r="A1" s="2" t="s">
        <v>95</v>
      </c>
      <c r="B1" s="2" t="s">
        <v>7</v>
      </c>
      <c r="C1" s="2" t="s">
        <v>8</v>
      </c>
      <c r="D1" s="2" t="s">
        <v>31</v>
      </c>
    </row>
    <row r="2" spans="1:4" x14ac:dyDescent="0.2">
      <c r="A2" s="3">
        <v>1000</v>
      </c>
      <c r="B2" s="3" t="s">
        <v>15</v>
      </c>
      <c r="C2" s="3" t="s">
        <v>96</v>
      </c>
      <c r="D2" s="3" t="s">
        <v>97</v>
      </c>
    </row>
    <row r="3" spans="1:4" x14ac:dyDescent="0.2">
      <c r="A3" s="3">
        <v>3018</v>
      </c>
      <c r="B3" s="3" t="s">
        <v>26</v>
      </c>
      <c r="C3" s="3" t="s">
        <v>16</v>
      </c>
      <c r="D3" s="3" t="s">
        <v>97</v>
      </c>
    </row>
    <row r="4" spans="1:4" x14ac:dyDescent="0.2">
      <c r="A4" s="3">
        <v>2018</v>
      </c>
      <c r="B4" s="3" t="s">
        <v>26</v>
      </c>
      <c r="C4" s="3" t="s">
        <v>16</v>
      </c>
      <c r="D4" s="3" t="s">
        <v>97</v>
      </c>
    </row>
    <row r="5" spans="1:4" x14ac:dyDescent="0.2">
      <c r="A5" s="3">
        <v>1070</v>
      </c>
      <c r="B5" s="3" t="s">
        <v>58</v>
      </c>
      <c r="C5" s="3" t="s">
        <v>96</v>
      </c>
      <c r="D5" s="3" t="s">
        <v>97</v>
      </c>
    </row>
    <row r="6" spans="1:4" ht="25.5" x14ac:dyDescent="0.2">
      <c r="A6" s="3">
        <v>7332</v>
      </c>
      <c r="B6" s="3" t="s">
        <v>61</v>
      </c>
      <c r="C6" s="3" t="s">
        <v>248</v>
      </c>
      <c r="D6" s="3" t="s">
        <v>97</v>
      </c>
    </row>
    <row r="7" spans="1:4" x14ac:dyDescent="0.2">
      <c r="A7" s="3">
        <v>2381</v>
      </c>
      <c r="B7" s="3" t="s">
        <v>63</v>
      </c>
      <c r="C7" s="3" t="s">
        <v>19</v>
      </c>
      <c r="D7" s="3" t="s">
        <v>97</v>
      </c>
    </row>
    <row r="8" spans="1:4" x14ac:dyDescent="0.2">
      <c r="A8" s="3">
        <v>8500</v>
      </c>
      <c r="B8" s="3" t="s">
        <v>65</v>
      </c>
      <c r="C8" s="3" t="s">
        <v>100</v>
      </c>
      <c r="D8" s="3" t="s">
        <v>97</v>
      </c>
    </row>
    <row r="9" spans="1:4" x14ac:dyDescent="0.2">
      <c r="A9" s="3">
        <v>8550</v>
      </c>
      <c r="B9" s="3" t="s">
        <v>65</v>
      </c>
      <c r="C9" s="3" t="s">
        <v>100</v>
      </c>
      <c r="D9" s="3" t="s">
        <v>97</v>
      </c>
    </row>
    <row r="10" spans="1:4" x14ac:dyDescent="0.2">
      <c r="A10" s="3">
        <v>8210</v>
      </c>
      <c r="B10" s="3" t="s">
        <v>67</v>
      </c>
      <c r="C10" s="3" t="s">
        <v>100</v>
      </c>
      <c r="D10" s="3" t="s">
        <v>97</v>
      </c>
    </row>
    <row r="11" spans="1:4" x14ac:dyDescent="0.2">
      <c r="A11" s="3">
        <v>8211</v>
      </c>
      <c r="B11" s="3" t="s">
        <v>214</v>
      </c>
      <c r="C11" s="3" t="s">
        <v>100</v>
      </c>
      <c r="D11" s="3" t="s">
        <v>97</v>
      </c>
    </row>
    <row r="12" spans="1:4" x14ac:dyDescent="0.2">
      <c r="A12" s="3">
        <v>3960</v>
      </c>
      <c r="B12" s="3" t="s">
        <v>69</v>
      </c>
      <c r="C12" s="3" t="s">
        <v>28</v>
      </c>
      <c r="D12" s="3" t="s">
        <v>97</v>
      </c>
    </row>
    <row r="13" spans="1:4" x14ac:dyDescent="0.2">
      <c r="A13" s="3">
        <v>8700</v>
      </c>
      <c r="B13" s="3" t="s">
        <v>73</v>
      </c>
      <c r="C13" s="3" t="s">
        <v>100</v>
      </c>
      <c r="D13" s="3" t="s">
        <v>97</v>
      </c>
    </row>
    <row r="14" spans="1:4" x14ac:dyDescent="0.2">
      <c r="A14" s="3">
        <v>2560</v>
      </c>
      <c r="B14" s="3" t="s">
        <v>75</v>
      </c>
      <c r="C14" s="3" t="s">
        <v>19</v>
      </c>
      <c r="D14" s="3" t="s">
        <v>97</v>
      </c>
    </row>
    <row r="15" spans="1:4" ht="25.5" x14ac:dyDescent="0.2">
      <c r="A15" s="3">
        <v>3550</v>
      </c>
      <c r="B15" s="3" t="s">
        <v>77</v>
      </c>
      <c r="C15" s="3" t="s">
        <v>28</v>
      </c>
      <c r="D15" s="3" t="s">
        <v>97</v>
      </c>
    </row>
    <row r="16" spans="1:4" x14ac:dyDescent="0.2">
      <c r="A16" s="3">
        <v>6560</v>
      </c>
      <c r="B16" s="3" t="s">
        <v>79</v>
      </c>
      <c r="C16" s="3" t="s">
        <v>248</v>
      </c>
      <c r="D16" s="3" t="s">
        <v>97</v>
      </c>
    </row>
    <row r="17" spans="1:4" x14ac:dyDescent="0.2">
      <c r="A17" s="3">
        <v>8380</v>
      </c>
      <c r="B17" s="3" t="s">
        <v>83</v>
      </c>
      <c r="C17" s="3" t="s">
        <v>100</v>
      </c>
      <c r="D17" s="3" t="s">
        <v>97</v>
      </c>
    </row>
    <row r="18" spans="1:4" x14ac:dyDescent="0.2">
      <c r="A18" s="3">
        <v>8840</v>
      </c>
      <c r="B18" s="3" t="s">
        <v>86</v>
      </c>
      <c r="C18" s="3" t="s">
        <v>100</v>
      </c>
      <c r="D18" s="3" t="s">
        <v>97</v>
      </c>
    </row>
    <row r="19" spans="1:4" x14ac:dyDescent="0.2">
      <c r="A19" s="3">
        <v>8620</v>
      </c>
      <c r="B19" s="3" t="s">
        <v>88</v>
      </c>
      <c r="C19" s="3" t="s">
        <v>100</v>
      </c>
      <c r="D19" s="3" t="s">
        <v>97</v>
      </c>
    </row>
    <row r="20" spans="1:4" x14ac:dyDescent="0.2">
      <c r="A20" s="3">
        <v>8434</v>
      </c>
      <c r="B20" s="3" t="s">
        <v>157</v>
      </c>
      <c r="C20" s="3" t="s">
        <v>100</v>
      </c>
      <c r="D20" s="3" t="s">
        <v>97</v>
      </c>
    </row>
    <row r="21" spans="1:4" x14ac:dyDescent="0.2">
      <c r="A21" s="3">
        <v>8490</v>
      </c>
      <c r="B21" s="3" t="s">
        <v>93</v>
      </c>
      <c r="C21" s="3" t="s">
        <v>100</v>
      </c>
      <c r="D21" s="3" t="s">
        <v>97</v>
      </c>
    </row>
    <row r="22" spans="1:4" x14ac:dyDescent="0.2">
      <c r="A22" s="3">
        <v>8770</v>
      </c>
      <c r="B22" s="3" t="s">
        <v>221</v>
      </c>
      <c r="C22" s="3" t="s">
        <v>100</v>
      </c>
      <c r="D22" s="3" t="s">
        <v>97</v>
      </c>
    </row>
    <row r="23" spans="1:4" x14ac:dyDescent="0.2">
      <c r="A23" s="3">
        <v>8790</v>
      </c>
      <c r="B23" s="3" t="s">
        <v>170</v>
      </c>
      <c r="C23" s="3" t="s">
        <v>100</v>
      </c>
      <c r="D23" s="3" t="s">
        <v>97</v>
      </c>
    </row>
    <row r="24" spans="1:4" x14ac:dyDescent="0.2">
      <c r="A24" s="3">
        <v>8820</v>
      </c>
      <c r="B24" s="3" t="s">
        <v>174</v>
      </c>
      <c r="C24" s="3" t="s">
        <v>100</v>
      </c>
      <c r="D24" s="3" t="s">
        <v>97</v>
      </c>
    </row>
    <row r="25" spans="1:4" x14ac:dyDescent="0.2">
      <c r="A25" s="3">
        <v>8470</v>
      </c>
      <c r="B25" s="3" t="s">
        <v>196</v>
      </c>
      <c r="C25" s="3" t="s">
        <v>100</v>
      </c>
      <c r="D25" s="3" t="s">
        <v>97</v>
      </c>
    </row>
    <row r="26" spans="1:4" x14ac:dyDescent="0.2">
      <c r="A26" s="3">
        <v>8980</v>
      </c>
      <c r="B26" s="3" t="s">
        <v>200</v>
      </c>
      <c r="C26" s="3" t="s">
        <v>100</v>
      </c>
      <c r="D26" s="3" t="s">
        <v>97</v>
      </c>
    </row>
    <row r="27" spans="1:4" x14ac:dyDescent="0.2">
      <c r="A27" s="3">
        <v>9880</v>
      </c>
      <c r="B27" s="3" t="s">
        <v>151</v>
      </c>
      <c r="C27" s="3" t="s">
        <v>22</v>
      </c>
      <c r="D27" s="3" t="s">
        <v>97</v>
      </c>
    </row>
    <row r="28" spans="1:4" ht="25.5" x14ac:dyDescent="0.2">
      <c r="A28" s="3">
        <v>9550</v>
      </c>
      <c r="B28" s="3" t="s">
        <v>154</v>
      </c>
      <c r="C28" s="3" t="s">
        <v>22</v>
      </c>
      <c r="D28" s="3" t="s">
        <v>97</v>
      </c>
    </row>
    <row r="29" spans="1:4" x14ac:dyDescent="0.2">
      <c r="A29" s="3">
        <v>9160</v>
      </c>
      <c r="B29" s="3" t="s">
        <v>180</v>
      </c>
      <c r="C29" s="3" t="s">
        <v>22</v>
      </c>
      <c r="D29" s="3" t="s">
        <v>97</v>
      </c>
    </row>
    <row r="30" spans="1:4" x14ac:dyDescent="0.2">
      <c r="A30" s="3">
        <v>9280</v>
      </c>
      <c r="B30" s="3" t="s">
        <v>230</v>
      </c>
      <c r="C30" s="3" t="s">
        <v>22</v>
      </c>
      <c r="D30" s="3" t="s">
        <v>97</v>
      </c>
    </row>
    <row r="31" spans="1:4" x14ac:dyDescent="0.2">
      <c r="A31" s="3">
        <v>9420</v>
      </c>
      <c r="B31" s="3" t="s">
        <v>207</v>
      </c>
      <c r="C31" s="3" t="s">
        <v>22</v>
      </c>
      <c r="D31" s="3" t="s">
        <v>97</v>
      </c>
    </row>
    <row r="32" spans="1:4" x14ac:dyDescent="0.2">
      <c r="A32" s="3">
        <v>9000</v>
      </c>
      <c r="B32" s="3" t="s">
        <v>21</v>
      </c>
      <c r="C32" s="3" t="s">
        <v>22</v>
      </c>
      <c r="D32" s="3" t="s">
        <v>97</v>
      </c>
    </row>
    <row r="33" spans="1:4" x14ac:dyDescent="0.2">
      <c r="A33" s="3">
        <v>7000</v>
      </c>
      <c r="B33" s="3" t="s">
        <v>185</v>
      </c>
      <c r="C33" s="3" t="s">
        <v>248</v>
      </c>
      <c r="D33" s="3" t="s">
        <v>97</v>
      </c>
    </row>
    <row r="34" spans="1:4" ht="25.5" x14ac:dyDescent="0.2">
      <c r="A34" s="3">
        <v>7780</v>
      </c>
      <c r="B34" s="3" t="s">
        <v>160</v>
      </c>
      <c r="C34" s="3" t="s">
        <v>248</v>
      </c>
      <c r="D34" s="3" t="s">
        <v>97</v>
      </c>
    </row>
    <row r="35" spans="1:4" ht="25.5" x14ac:dyDescent="0.2">
      <c r="A35" s="3">
        <v>3630</v>
      </c>
      <c r="B35" s="3" t="s">
        <v>162</v>
      </c>
      <c r="C35" s="3" t="s">
        <v>28</v>
      </c>
      <c r="D35" s="3" t="s">
        <v>97</v>
      </c>
    </row>
    <row r="36" spans="1:4" x14ac:dyDescent="0.2">
      <c r="A36" s="3">
        <v>3660</v>
      </c>
      <c r="B36" s="3" t="s">
        <v>228</v>
      </c>
      <c r="C36" s="3" t="s">
        <v>28</v>
      </c>
      <c r="D36" s="3" t="s">
        <v>97</v>
      </c>
    </row>
    <row r="37" spans="1:4" ht="25.5" x14ac:dyDescent="0.2">
      <c r="A37" s="3">
        <v>3190</v>
      </c>
      <c r="B37" s="3" t="s">
        <v>167</v>
      </c>
      <c r="C37" s="3" t="s">
        <v>16</v>
      </c>
      <c r="D37" s="3" t="s">
        <v>97</v>
      </c>
    </row>
    <row r="38" spans="1:4" x14ac:dyDescent="0.2">
      <c r="A38" s="3">
        <v>2330</v>
      </c>
      <c r="B38" s="3" t="s">
        <v>193</v>
      </c>
      <c r="C38" s="3" t="s">
        <v>19</v>
      </c>
      <c r="D38" s="3" t="s">
        <v>97</v>
      </c>
    </row>
    <row r="39" spans="1:4" ht="25.5" x14ac:dyDescent="0.2">
      <c r="A39" s="3">
        <v>52068</v>
      </c>
      <c r="B39" s="3" t="s">
        <v>91</v>
      </c>
      <c r="C39" s="3" t="s">
        <v>98</v>
      </c>
      <c r="D39" s="3" t="s">
        <v>99</v>
      </c>
    </row>
    <row r="40" spans="1:4" ht="25.5" x14ac:dyDescent="0.2">
      <c r="A40" s="3">
        <v>74219</v>
      </c>
      <c r="B40" s="3" t="s">
        <v>189</v>
      </c>
      <c r="C40" s="3" t="s">
        <v>249</v>
      </c>
      <c r="D40" s="3" t="s">
        <v>99</v>
      </c>
    </row>
    <row r="41" spans="1:4" ht="25.5" x14ac:dyDescent="0.2">
      <c r="A41" s="3">
        <v>5038</v>
      </c>
      <c r="B41" s="3" t="s">
        <v>224</v>
      </c>
      <c r="C41" s="3" t="s">
        <v>250</v>
      </c>
      <c r="D41" s="3" t="s">
        <v>251</v>
      </c>
    </row>
    <row r="42" spans="1:4" ht="25.5" x14ac:dyDescent="0.2">
      <c r="A42" s="3">
        <v>3253</v>
      </c>
      <c r="B42" s="3" t="s">
        <v>234</v>
      </c>
      <c r="C42" s="3" t="s">
        <v>252</v>
      </c>
      <c r="D42" s="3" t="s">
        <v>251</v>
      </c>
    </row>
    <row r="43" spans="1:4" ht="25.5" x14ac:dyDescent="0.2">
      <c r="A43" s="3">
        <v>3233</v>
      </c>
      <c r="B43" s="3" t="s">
        <v>203</v>
      </c>
      <c r="C43" s="3" t="s">
        <v>252</v>
      </c>
      <c r="D43" s="3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events</vt:lpstr>
      <vt:lpstr>Locaties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Lenn Kenis</cp:lastModifiedBy>
  <cp:revision>0</cp:revision>
  <dcterms:modified xsi:type="dcterms:W3CDTF">2026-01-28T16:01:29Z</dcterms:modified>
  <dc:language>en-US</dc:language>
</cp:coreProperties>
</file>